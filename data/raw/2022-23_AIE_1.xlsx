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 EXPRESS\"/>
    </mc:Choice>
  </mc:AlternateContent>
  <bookViews>
    <workbookView xWindow="0" yWindow="0" windowWidth="24000" windowHeight="10725"/>
  </bookViews>
  <sheets>
    <sheet name="AIR INDIA EXPRESS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8" l="1"/>
  <c r="Q8" i="8"/>
  <c r="Q7" i="8"/>
  <c r="Q12" i="8"/>
  <c r="H12" i="8"/>
  <c r="H8" i="8"/>
  <c r="H7" i="8"/>
  <c r="H6" i="8"/>
  <c r="G18" i="8" l="1"/>
  <c r="C18" i="8"/>
  <c r="D18" i="8"/>
  <c r="E18" i="8"/>
  <c r="F18" i="8"/>
  <c r="B18" i="8"/>
  <c r="H18" i="8" l="1"/>
  <c r="P18" i="8"/>
  <c r="O18" i="8"/>
  <c r="N18" i="8"/>
  <c r="M18" i="8"/>
  <c r="L18" i="8"/>
  <c r="K18" i="8"/>
  <c r="J18" i="8"/>
  <c r="I18" i="8"/>
  <c r="Q18" i="8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<sst xmlns="http://schemas.openxmlformats.org/spreadsheetml/2006/main" count="26" uniqueCount="24">
  <si>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</si>
  <si>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</si>
  <si>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</si>
  <si>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</si>
  <si>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</si>
  <si>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</si>
  <si>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</si>
  <si>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</si>
  <si>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</si>
  <si>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</si>
  <si>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</si>
  <si>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</si>
  <si>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</si>
  <si>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</si>
  <si>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</si>
  <si>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</si>
  <si>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</si>
  <si>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</si>
  <si>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</si>
  <si>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</si>
  <si>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 xml:space="preserve">तालिका 1.01 एयर इंडिया एक्सप्रेस (राष्ट्रीय) </t>
  </si>
  <si>
    <t>2022-23</t>
  </si>
  <si>
    <t>MONTHLY TRAFFIC AND OPERATING STATISTICS OF AIR INDIA EXPRESS ON SCHEDULED DOMESTIC SERVICES DURING 2022-23</t>
  </si>
  <si>
    <t xml:space="preserve">Table 1.01  AIR INDIA EXPRESS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</si>
</sst>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  <numFmt numFmtId="169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9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168" fontId="3" fillId="4" borderId="1" xfId="3" applyNumberFormat="1" applyFont="1" applyBorder="1" applyAlignment="1" applyProtection="1">
      <alignment horizontal="center" vertical="center"/>
    </xf>
    <xf numFmtId="168" fontId="3" fillId="5" borderId="1" xfId="3" applyNumberFormat="1" applyFont="1" applyFill="1" applyBorder="1" applyAlignment="1" applyProtection="1">
      <alignment horizontal="center" vertical="center"/>
    </xf>
    <xf numFmtId="0" fontId="0" fillId="0" borderId="0" xfId="0" applyNumberFormat="1" applyFont="1"/>
    <xf numFmtId="2" fontId="0" fillId="0" borderId="0" xfId="0" applyNumberFormat="1" applyFont="1"/>
    <xf numFmtId="169" fontId="0" fillId="0" borderId="0" xfId="0" applyNumberFormat="1" applyFont="1"/>
    <xf numFmtId="1" fontId="0" fillId="0" borderId="0" xfId="0" applyNumberFormat="1" applyFont="1"/>
    <xf numFmtId="164" fontId="3" fillId="4" borderId="1" xfId="3" applyNumberFormat="1" applyBorder="1" applyAlignment="1">
      <alignment horizontal="right" vertical="center"/>
    </xf>
    <xf numFmtId="4" fontId="4" fillId="4" borderId="1" xfId="3" applyNumberFormat="1" applyFont="1" applyBorder="1" applyAlignment="1" applyProtection="1">
      <alignment horizontal="right" vertical="center" wrapText="1"/>
    </xf>
    <xf numFmtId="164" fontId="0" fillId="0" borderId="1" xfId="1" applyNumberFormat="1" applyFon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4" zoomScale="112" zoomScaleNormal="112" zoomScaleSheetLayoutView="112" workbookViewId="0">
      <selection activeCell="U14" sqref="U14"/>
    </sheetView>
  </sheetViews>
  <sheetFormatPr defaultRowHeight="15" x14ac:dyDescent="0.25"/>
  <cols>
    <col min="1" max="1" width="14" bestFit="1" customWidth="1"/>
    <col min="2" max="2" width="6" customWidth="1"/>
    <col min="3" max="3" width="5" customWidth="1"/>
    <col min="4" max="4" width="7" bestFit="1" customWidth="1"/>
    <col min="5" max="5" width="7.42578125" customWidth="1"/>
    <col min="6" max="6" width="9.140625" bestFit="1" customWidth="1"/>
    <col min="7" max="8" width="7.140625" customWidth="1"/>
    <col min="9" max="9" width="3.7109375" bestFit="1" customWidth="1"/>
    <col min="10" max="10" width="5" customWidth="1"/>
    <col min="11" max="11" width="4.85546875" customWidth="1"/>
    <col min="12" max="12" width="6" bestFit="1" customWidth="1"/>
    <col min="13" max="13" width="5.42578125" customWidth="1"/>
    <col min="14" max="14" width="5.7109375" customWidth="1"/>
    <col min="15" max="15" width="7.140625" customWidth="1"/>
    <col min="16" max="16" width="11.5703125" bestFit="1" customWidth="1"/>
    <col min="17" max="17" width="7.42578125" customWidth="1"/>
  </cols>
  <sheetData>
    <row r="1" spans="1:17" x14ac:dyDescent="0.25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23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7" t="s">
        <v>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33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19" t="s">
        <v>3</v>
      </c>
      <c r="H4" s="19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9" t="s">
        <v>7</v>
      </c>
      <c r="Q4" s="19" t="s">
        <v>8</v>
      </c>
    </row>
    <row r="5" spans="1:17" ht="111" customHeight="1" x14ac:dyDescent="0.25">
      <c r="A5" s="27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0"/>
      <c r="H5" s="20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0"/>
      <c r="Q5" s="20"/>
    </row>
    <row r="6" spans="1:17" x14ac:dyDescent="0.25">
      <c r="A6" s="10">
        <v>44652</v>
      </c>
      <c r="B6" s="2">
        <v>26</v>
      </c>
      <c r="C6" s="2">
        <v>40.300000000000004</v>
      </c>
      <c r="D6" s="2">
        <v>18.512</v>
      </c>
      <c r="E6" s="2">
        <v>2372</v>
      </c>
      <c r="F6" s="2">
        <v>1.6810319999999999</v>
      </c>
      <c r="G6" s="2">
        <v>3.4432320000000001</v>
      </c>
      <c r="H6" s="5">
        <f t="shared" ref="H6:H18" si="0">F6/G6*100</f>
        <v>48.821339950372206</v>
      </c>
      <c r="I6" s="5"/>
      <c r="J6" s="5"/>
      <c r="K6" s="5"/>
      <c r="L6" s="5">
        <v>9.8552903999999997E-2</v>
      </c>
      <c r="M6" s="5">
        <v>0</v>
      </c>
      <c r="N6" s="5">
        <v>0</v>
      </c>
      <c r="O6" s="16">
        <v>9.8552903999999997E-2</v>
      </c>
      <c r="P6" s="5">
        <v>0.11089400000000001</v>
      </c>
      <c r="Q6" s="5">
        <f t="shared" ref="Q6" si="1">O6/P6*100</f>
        <v>88.871268057784903</v>
      </c>
    </row>
    <row r="7" spans="1:17" x14ac:dyDescent="0.25">
      <c r="A7" s="11">
        <v>44682</v>
      </c>
      <c r="B7" s="3">
        <v>26</v>
      </c>
      <c r="C7" s="3">
        <v>41.589999999999996</v>
      </c>
      <c r="D7" s="3">
        <v>18.512</v>
      </c>
      <c r="E7" s="3">
        <v>3227</v>
      </c>
      <c r="F7" s="3">
        <v>2.2876560000000001</v>
      </c>
      <c r="G7" s="3">
        <v>3.4432320000000001</v>
      </c>
      <c r="H7" s="6">
        <f t="shared" si="0"/>
        <v>66.439205955334984</v>
      </c>
      <c r="I7" s="6"/>
      <c r="J7" s="6"/>
      <c r="K7" s="6"/>
      <c r="L7" s="6">
        <v>0.14682009599999998</v>
      </c>
      <c r="M7" s="6">
        <v>0</v>
      </c>
      <c r="N7" s="6">
        <v>0</v>
      </c>
      <c r="O7" s="18">
        <v>0.14682009599999998</v>
      </c>
      <c r="P7" s="6">
        <v>0.16714911999999998</v>
      </c>
      <c r="Q7" s="6">
        <f t="shared" ref="Q7:Q8" si="2">O7/P7*100</f>
        <v>87.837791787357304</v>
      </c>
    </row>
    <row r="8" spans="1:17" x14ac:dyDescent="0.25">
      <c r="A8" s="10">
        <v>44713</v>
      </c>
      <c r="B8" s="2">
        <v>22</v>
      </c>
      <c r="C8" s="2">
        <v>34.416666666666671</v>
      </c>
      <c r="D8" s="2">
        <v>15.664</v>
      </c>
      <c r="E8" s="2">
        <v>1912</v>
      </c>
      <c r="F8" s="2">
        <v>1.346392</v>
      </c>
      <c r="G8" s="2">
        <v>2.9135040000000001</v>
      </c>
      <c r="H8" s="5">
        <f t="shared" si="0"/>
        <v>46.212121212121211</v>
      </c>
      <c r="I8" s="5"/>
      <c r="J8" s="5"/>
      <c r="K8" s="5"/>
      <c r="L8" s="16">
        <v>4.3397824000000002E-2</v>
      </c>
      <c r="M8" s="5">
        <v>0</v>
      </c>
      <c r="N8" s="5">
        <v>0</v>
      </c>
      <c r="O8" s="16">
        <v>4.3397824000000002E-2</v>
      </c>
      <c r="P8" s="16">
        <v>4.9867056E-2</v>
      </c>
      <c r="Q8" s="5">
        <f t="shared" si="2"/>
        <v>87.027042462663132</v>
      </c>
    </row>
    <row r="9" spans="1:17" x14ac:dyDescent="0.25">
      <c r="A9" s="11">
        <v>44743</v>
      </c>
      <c r="B9" s="3"/>
      <c r="C9" s="3"/>
      <c r="D9" s="3"/>
      <c r="E9" s="3"/>
      <c r="F9" s="3">
        <v>0</v>
      </c>
      <c r="G9" s="3">
        <v>0</v>
      </c>
      <c r="H9" s="6"/>
      <c r="I9" s="6"/>
      <c r="J9" s="6"/>
      <c r="K9" s="6"/>
      <c r="L9" s="6">
        <v>0</v>
      </c>
      <c r="M9" s="6">
        <v>0</v>
      </c>
      <c r="N9" s="6">
        <v>0</v>
      </c>
      <c r="O9" s="6">
        <v>0</v>
      </c>
      <c r="P9" s="6">
        <v>0</v>
      </c>
      <c r="Q9" s="6"/>
    </row>
    <row r="10" spans="1:17" x14ac:dyDescent="0.25">
      <c r="A10" s="10">
        <v>44774</v>
      </c>
      <c r="B10" s="2"/>
      <c r="C10" s="2"/>
      <c r="D10" s="2"/>
      <c r="E10" s="2"/>
      <c r="F10" s="2">
        <v>0</v>
      </c>
      <c r="G10" s="2">
        <v>0</v>
      </c>
      <c r="H10" s="5"/>
      <c r="I10" s="5"/>
      <c r="J10" s="5"/>
      <c r="K10" s="5"/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/>
    </row>
    <row r="11" spans="1:17" x14ac:dyDescent="0.25">
      <c r="A11" s="11">
        <v>44805</v>
      </c>
      <c r="B11" s="3"/>
      <c r="C11" s="3"/>
      <c r="D11" s="3"/>
      <c r="E11" s="3"/>
      <c r="F11" s="3">
        <v>0</v>
      </c>
      <c r="G11" s="3">
        <v>0</v>
      </c>
      <c r="H11" s="6"/>
      <c r="I11" s="6"/>
      <c r="J11" s="6"/>
      <c r="K11" s="6"/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/>
    </row>
    <row r="12" spans="1:17" x14ac:dyDescent="0.25">
      <c r="A12" s="10">
        <v>44835</v>
      </c>
      <c r="B12" s="2">
        <v>8</v>
      </c>
      <c r="C12" s="2">
        <v>12.1999</v>
      </c>
      <c r="D12" s="2">
        <v>5.6959999999999997</v>
      </c>
      <c r="E12" s="2">
        <v>972</v>
      </c>
      <c r="F12" s="2">
        <v>0.684944</v>
      </c>
      <c r="G12" s="2">
        <v>1.059456</v>
      </c>
      <c r="H12" s="5">
        <f t="shared" si="0"/>
        <v>64.650537634408607</v>
      </c>
      <c r="I12" s="5"/>
      <c r="J12" s="5"/>
      <c r="K12" s="5"/>
      <c r="L12" s="16">
        <v>5.5763840000000002E-2</v>
      </c>
      <c r="M12" s="5">
        <v>0</v>
      </c>
      <c r="N12" s="5">
        <v>0</v>
      </c>
      <c r="O12" s="16">
        <v>5.5763840000000002E-2</v>
      </c>
      <c r="P12" s="5">
        <v>0.10345359999999999</v>
      </c>
      <c r="Q12" s="5">
        <f t="shared" ref="Q12" si="3">O12/P12*100</f>
        <v>53.902271163110818</v>
      </c>
    </row>
    <row r="13" spans="1:17" x14ac:dyDescent="0.25">
      <c r="A13" s="11">
        <v>44866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6"/>
      <c r="I13" s="6"/>
      <c r="J13" s="6"/>
      <c r="K13" s="6"/>
      <c r="L13" s="6">
        <v>0</v>
      </c>
      <c r="M13" s="6">
        <v>0</v>
      </c>
      <c r="N13" s="6">
        <v>0</v>
      </c>
      <c r="O13" s="6"/>
      <c r="P13" s="6">
        <v>0</v>
      </c>
      <c r="Q13" s="6"/>
    </row>
    <row r="14" spans="1:17" x14ac:dyDescent="0.25">
      <c r="A14" s="10">
        <v>44896</v>
      </c>
      <c r="B14" s="2"/>
      <c r="C14" s="2"/>
      <c r="D14" s="2"/>
      <c r="E14" s="2"/>
      <c r="F14" s="2">
        <v>0</v>
      </c>
      <c r="G14" s="2">
        <v>0</v>
      </c>
      <c r="H14" s="5"/>
      <c r="I14" s="5"/>
      <c r="J14" s="5"/>
      <c r="K14" s="5"/>
      <c r="L14" s="5">
        <v>0</v>
      </c>
      <c r="M14" s="5">
        <v>0</v>
      </c>
      <c r="N14" s="5">
        <v>0</v>
      </c>
      <c r="O14" s="5"/>
      <c r="P14" s="5">
        <v>0</v>
      </c>
      <c r="Q14" s="5"/>
    </row>
    <row r="15" spans="1:17" x14ac:dyDescent="0.25">
      <c r="A15" s="11">
        <v>44927</v>
      </c>
      <c r="B15" s="3"/>
      <c r="C15" s="3"/>
      <c r="D15" s="3"/>
      <c r="E15" s="3"/>
      <c r="F15" s="3">
        <v>0</v>
      </c>
      <c r="G15" s="3">
        <v>0</v>
      </c>
      <c r="H15" s="6"/>
      <c r="I15" s="6"/>
      <c r="J15" s="6"/>
      <c r="K15" s="6"/>
      <c r="L15" s="6">
        <v>0</v>
      </c>
      <c r="M15" s="6">
        <v>0</v>
      </c>
      <c r="N15" s="6">
        <v>0</v>
      </c>
      <c r="O15" s="6"/>
      <c r="P15" s="6">
        <v>0</v>
      </c>
      <c r="Q15" s="6"/>
    </row>
    <row r="16" spans="1:17" x14ac:dyDescent="0.25">
      <c r="A16" s="10">
        <v>44958</v>
      </c>
      <c r="B16" s="2"/>
      <c r="C16" s="2"/>
      <c r="D16" s="2"/>
      <c r="E16" s="2"/>
      <c r="F16" s="2">
        <v>0</v>
      </c>
      <c r="G16" s="2">
        <v>0</v>
      </c>
      <c r="H16" s="5"/>
      <c r="I16" s="5"/>
      <c r="J16" s="5"/>
      <c r="K16" s="5"/>
      <c r="L16" s="5">
        <v>0</v>
      </c>
      <c r="M16" s="5">
        <v>0</v>
      </c>
      <c r="N16" s="5">
        <v>0</v>
      </c>
      <c r="O16" s="5"/>
      <c r="P16" s="5">
        <v>0</v>
      </c>
      <c r="Q16" s="5"/>
    </row>
    <row r="17" spans="1:17" x14ac:dyDescent="0.25">
      <c r="A17" s="11">
        <v>44986</v>
      </c>
      <c r="B17" s="12"/>
      <c r="C17" s="15"/>
      <c r="D17" s="15"/>
      <c r="E17" s="12"/>
      <c r="F17" s="14"/>
      <c r="G17" s="14"/>
      <c r="H17" s="6"/>
      <c r="I17" s="12"/>
      <c r="J17" s="12"/>
      <c r="K17" s="12"/>
      <c r="L17" s="13"/>
      <c r="M17" s="12"/>
      <c r="N17" s="12"/>
      <c r="O17" s="13"/>
      <c r="P17" s="14"/>
      <c r="Q17" s="6"/>
    </row>
    <row r="18" spans="1:17" x14ac:dyDescent="0.25">
      <c r="A18" s="1" t="s">
        <v>21</v>
      </c>
      <c r="B18" s="4">
        <f>SUM(B6:B17)</f>
        <v>82</v>
      </c>
      <c r="C18" s="4">
        <f t="shared" ref="C18:F18" si="4">SUM(C6:C17)</f>
        <v>128.50656666666669</v>
      </c>
      <c r="D18" s="4">
        <f t="shared" si="4"/>
        <v>58.384</v>
      </c>
      <c r="E18" s="4">
        <f t="shared" si="4"/>
        <v>8483</v>
      </c>
      <c r="F18" s="4">
        <f t="shared" si="4"/>
        <v>6.0000239999999998</v>
      </c>
      <c r="G18" s="4">
        <f>SUM(G6:G17)</f>
        <v>10.859424000000001</v>
      </c>
      <c r="H18" s="7">
        <f t="shared" si="0"/>
        <v>55.251770259638079</v>
      </c>
      <c r="I18" s="7">
        <f t="shared" ref="I18:P18" si="5">SUM(I6:I17)</f>
        <v>0</v>
      </c>
      <c r="J18" s="7">
        <f t="shared" si="5"/>
        <v>0</v>
      </c>
      <c r="K18" s="7">
        <f t="shared" si="5"/>
        <v>0</v>
      </c>
      <c r="L18" s="7">
        <f t="shared" si="5"/>
        <v>0.34453466399999999</v>
      </c>
      <c r="M18" s="7">
        <f t="shared" si="5"/>
        <v>0</v>
      </c>
      <c r="N18" s="9">
        <f t="shared" si="5"/>
        <v>0</v>
      </c>
      <c r="O18" s="17">
        <f t="shared" si="5"/>
        <v>0.34453466399999999</v>
      </c>
      <c r="P18" s="7">
        <f t="shared" si="5"/>
        <v>0.43136377599999998</v>
      </c>
      <c r="Q18" s="7">
        <f t="shared" ref="Q18" si="6">O18/P18*100</f>
        <v>79.871023755133308</v>
      </c>
    </row>
    <row r="19" spans="1:17" x14ac:dyDescent="0.25">
      <c r="A19" s="21" t="s">
        <v>19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2022-04-25T11:47:31Z</cp:lastPrinted>
  <dcterms:created xsi:type="dcterms:W3CDTF">2018-10-29T04:00:07Z</dcterms:created>
  <dcterms:modified xsi:type="dcterms:W3CDTF">2023-10-11T07:05:40Z</dcterms:modified>
</cp:coreProperties>
</file>