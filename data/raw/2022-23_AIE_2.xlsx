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Annual tables 22_23\AIR INDIA EXPRESS\"/>
    </mc:Choice>
  </mc:AlternateContent>
  <bookViews>
    <workbookView xWindow="0" yWindow="0" windowWidth="24000" windowHeight="10725"/>
  </bookViews>
  <sheets>
    <sheet name="AIR INDIA EXPRES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12" i="1"/>
  <c r="Q11" i="1"/>
  <c r="Q10" i="1"/>
  <c r="Q9" i="1"/>
  <c r="Q8" i="1"/>
  <c r="Q7" i="1"/>
  <c r="Q6" i="1"/>
  <c r="H17" i="1"/>
  <c r="H16" i="1"/>
  <c r="H15" i="1"/>
  <c r="H14" i="1"/>
  <c r="H13" i="1"/>
  <c r="H12" i="1"/>
  <c r="H11" i="1"/>
  <c r="H10" i="1"/>
  <c r="H9" i="1"/>
  <c r="H8" i="1"/>
  <c r="H7" i="1"/>
  <c r="H6" i="1"/>
  <c r="P18" i="1"/>
  <c r="O18" i="1"/>
  <c r="Q18" i="1" s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<sst xmlns="http://schemas.openxmlformats.org/spreadsheetml/2006/main" count="26" uniqueCount="24">
  <si>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</si>
  <si>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</si>
  <si>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</si>
  <si>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</si>
  <si>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</si>
  <si>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</si>
  <si>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</si>
  <si>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</si>
  <si>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</si>
  <si>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</si>
  <si>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</si>
  <si>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</si>
  <si>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</si>
  <si>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</si>
  <si>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</si>
  <si>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</si>
  <si>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</si>
  <si>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</si>
  <si>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</si>
  <si>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 EXPRESS</t>
  </si>
  <si>
    <t>तालिका - 1.02 एयर इंडिया एक्सप्रेस (राष्ट्रीय)</t>
  </si>
  <si>
    <t>MONTHLY TRAFFIC AND OPERATING STATISTICS OF AIR INDIA EXPRESS ON SCHEDULED INTERNATIONAL SERVICES DURING 2022-23</t>
  </si>
  <si>
    <t>2022-23</t>
  </si>
  <si>
    <t>Table 1.02 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</si>
</sst>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[$-1010409]m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3">
    <xf numFmtId="0" fontId="0" fillId="0" borderId="0" xfId="0"/>
    <xf numFmtId="165" fontId="1" fillId="3" borderId="1" xfId="3" applyNumberFormat="1" applyBorder="1" applyAlignment="1">
      <alignment horizontal="right" vertical="center"/>
    </xf>
    <xf numFmtId="166" fontId="1" fillId="3" borderId="1" xfId="3" applyNumberFormat="1" applyBorder="1" applyAlignment="1">
      <alignment horizontal="right" vertical="center"/>
    </xf>
    <xf numFmtId="164" fontId="0" fillId="3" borderId="1" xfId="3" applyNumberFormat="1" applyFont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64" fontId="5" fillId="0" borderId="1" xfId="1" applyNumberFormat="1" applyFont="1" applyFill="1" applyBorder="1" applyAlignment="1">
      <alignment horizontal="right" vertical="center"/>
    </xf>
    <xf numFmtId="164" fontId="1" fillId="3" borderId="1" xfId="3" applyNumberForma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right" vertical="center" wrapText="1"/>
    </xf>
    <xf numFmtId="166" fontId="2" fillId="3" borderId="1" xfId="3" applyNumberFormat="1" applyFont="1" applyBorder="1" applyAlignment="1" applyProtection="1">
      <alignment horizontal="right" vertical="center" wrapText="1"/>
    </xf>
    <xf numFmtId="164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7" fontId="1" fillId="3" borderId="1" xfId="3" applyNumberFormat="1" applyBorder="1" applyAlignment="1" applyProtection="1">
      <alignment horizontal="center" vertical="center"/>
    </xf>
    <xf numFmtId="167" fontId="4" fillId="4" borderId="1" xfId="0" applyNumberFormat="1" applyFont="1" applyFill="1" applyBorder="1" applyAlignment="1" applyProtection="1">
      <alignment horizontal="center" vertical="center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112" zoomScaleNormal="112" zoomScaleSheetLayoutView="112" workbookViewId="0">
      <selection activeCell="O5" sqref="O5"/>
    </sheetView>
  </sheetViews>
  <sheetFormatPr defaultRowHeight="15" x14ac:dyDescent="0.25"/>
  <cols>
    <col min="1" max="1" width="15.140625" customWidth="1"/>
    <col min="2" max="2" width="8.28515625" customWidth="1"/>
    <col min="3" max="3" width="9.140625" customWidth="1"/>
    <col min="4" max="4" width="8.28515625" customWidth="1"/>
    <col min="5" max="5" width="11.140625" bestFit="1" customWidth="1"/>
    <col min="6" max="6" width="8" customWidth="1"/>
    <col min="7" max="7" width="8.28515625" customWidth="1"/>
    <col min="8" max="8" width="7.5703125" customWidth="1"/>
    <col min="9" max="9" width="8.85546875" customWidth="1"/>
    <col min="10" max="10" width="5.5703125" customWidth="1"/>
    <col min="11" max="11" width="10" customWidth="1"/>
    <col min="12" max="12" width="7.7109375" customWidth="1"/>
    <col min="13" max="13" width="6.7109375" customWidth="1"/>
    <col min="14" max="14" width="6" customWidth="1"/>
    <col min="15" max="15" width="7" customWidth="1"/>
    <col min="16" max="16" width="8.7109375" customWidth="1"/>
    <col min="17" max="17" width="7" customWidth="1"/>
  </cols>
  <sheetData>
    <row r="1" spans="1:17" ht="15" customHeight="1" x14ac:dyDescent="0.25">
      <c r="A1" s="18" t="s">
        <v>20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5" customHeight="1" x14ac:dyDescent="0.25">
      <c r="A2" s="19" t="s">
        <v>23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5" customHeight="1" x14ac:dyDescent="0.25">
      <c r="A3" s="21" t="s">
        <v>21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33" customHeight="1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15" t="s">
        <v>3</v>
      </c>
      <c r="H4" s="15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15" t="s">
        <v>7</v>
      </c>
      <c r="Q4" s="15" t="s">
        <v>8</v>
      </c>
    </row>
    <row r="5" spans="1:17" ht="115.5" customHeight="1" x14ac:dyDescent="0.25">
      <c r="A5" s="21"/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6"/>
      <c r="H5" s="16"/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15</v>
      </c>
      <c r="O5" s="12" t="s">
        <v>16</v>
      </c>
      <c r="P5" s="16"/>
      <c r="Q5" s="16"/>
    </row>
    <row r="6" spans="1:17" x14ac:dyDescent="0.25">
      <c r="A6" s="13">
        <v>44652</v>
      </c>
      <c r="B6" s="1">
        <v>2399</v>
      </c>
      <c r="C6" s="1">
        <v>9216.9000000000015</v>
      </c>
      <c r="D6" s="1">
        <v>6220.3050000000003</v>
      </c>
      <c r="E6" s="1">
        <v>316091</v>
      </c>
      <c r="F6" s="1">
        <v>855.94060300000001</v>
      </c>
      <c r="G6" s="1">
        <v>1156.9767300000001</v>
      </c>
      <c r="H6" s="1">
        <f t="shared" ref="H6:H17" si="0">F6/G6*100</f>
        <v>73.980796744287147</v>
      </c>
      <c r="I6" s="2">
        <v>2546.3090000000002</v>
      </c>
      <c r="J6" s="2">
        <v>4.6389999999999993</v>
      </c>
      <c r="K6" s="2">
        <v>2550.9480000000003</v>
      </c>
      <c r="L6" s="2">
        <v>57.669112483000006</v>
      </c>
      <c r="M6" s="2">
        <v>7.0496353389999991</v>
      </c>
      <c r="N6" s="3">
        <v>1.3490019000000001E-2</v>
      </c>
      <c r="O6" s="2">
        <v>64.732237841</v>
      </c>
      <c r="P6" s="2">
        <v>79.67950925000001</v>
      </c>
      <c r="Q6" s="2">
        <f t="shared" ref="Q6:Q17" si="1">O6/P6*100</f>
        <v>81.240758697318398</v>
      </c>
    </row>
    <row r="7" spans="1:17" x14ac:dyDescent="0.25">
      <c r="A7" s="14">
        <v>44682</v>
      </c>
      <c r="B7" s="4">
        <v>2538</v>
      </c>
      <c r="C7" s="4">
        <v>9712.1999999999953</v>
      </c>
      <c r="D7" s="4">
        <v>6547.811999999999</v>
      </c>
      <c r="E7" s="4">
        <v>342073</v>
      </c>
      <c r="F7" s="4">
        <v>924.17344800000001</v>
      </c>
      <c r="G7" s="4">
        <v>1217.8930319999999</v>
      </c>
      <c r="H7" s="5">
        <f t="shared" si="0"/>
        <v>75.882973604204011</v>
      </c>
      <c r="I7" s="5">
        <v>2232.3240000000001</v>
      </c>
      <c r="J7" s="5">
        <v>4.0529999999999999</v>
      </c>
      <c r="K7" s="5">
        <v>2236.377</v>
      </c>
      <c r="L7" s="5">
        <v>62.385724760999999</v>
      </c>
      <c r="M7" s="5">
        <v>6.2554892449999997</v>
      </c>
      <c r="N7" s="6">
        <v>1.1981301999999999E-2</v>
      </c>
      <c r="O7" s="5">
        <v>68.653195307999994</v>
      </c>
      <c r="P7" s="5">
        <v>85.752035046000003</v>
      </c>
      <c r="Q7" s="5">
        <f t="shared" si="1"/>
        <v>80.060135332266256</v>
      </c>
    </row>
    <row r="8" spans="1:17" x14ac:dyDescent="0.25">
      <c r="A8" s="13">
        <v>44713</v>
      </c>
      <c r="B8" s="1">
        <v>2482</v>
      </c>
      <c r="C8" s="1">
        <v>9571.2833333333438</v>
      </c>
      <c r="D8" s="1">
        <v>6448.2780000000002</v>
      </c>
      <c r="E8" s="1">
        <v>349042</v>
      </c>
      <c r="F8" s="1">
        <v>943.066914</v>
      </c>
      <c r="G8" s="1">
        <v>1199.3797080000002</v>
      </c>
      <c r="H8" s="2">
        <f t="shared" si="0"/>
        <v>78.629553902707841</v>
      </c>
      <c r="I8" s="2">
        <v>1269.568</v>
      </c>
      <c r="J8" s="2">
        <v>2.68</v>
      </c>
      <c r="K8" s="2">
        <v>1272.248</v>
      </c>
      <c r="L8" s="2">
        <v>34.794583139000004</v>
      </c>
      <c r="M8" s="2">
        <v>3.5638247710000002</v>
      </c>
      <c r="N8" s="7">
        <v>8.0621570000000004E-3</v>
      </c>
      <c r="O8" s="2">
        <v>38.366470067000002</v>
      </c>
      <c r="P8" s="2">
        <v>48.170423843999998</v>
      </c>
      <c r="Q8" s="2">
        <f t="shared" si="1"/>
        <v>79.647358286175518</v>
      </c>
    </row>
    <row r="9" spans="1:17" x14ac:dyDescent="0.25">
      <c r="A9" s="14">
        <v>44743</v>
      </c>
      <c r="B9" s="4">
        <v>2636</v>
      </c>
      <c r="C9" s="4">
        <v>10078.43</v>
      </c>
      <c r="D9" s="4">
        <v>6843.7219999999998</v>
      </c>
      <c r="E9" s="4">
        <v>352377</v>
      </c>
      <c r="F9" s="4">
        <v>949.024947</v>
      </c>
      <c r="G9" s="4">
        <v>1272.932292</v>
      </c>
      <c r="H9" s="5">
        <f t="shared" si="0"/>
        <v>74.554236149427496</v>
      </c>
      <c r="I9" s="5">
        <v>2387.9659999999999</v>
      </c>
      <c r="J9" s="5">
        <v>3.2060000000000004</v>
      </c>
      <c r="K9" s="5">
        <v>2391.172</v>
      </c>
      <c r="L9" s="5">
        <v>79.240576478999998</v>
      </c>
      <c r="M9" s="5">
        <v>6.4078352823000007</v>
      </c>
      <c r="N9" s="6">
        <v>8.6105120000000007E-3</v>
      </c>
      <c r="O9" s="5">
        <v>85.657022273300001</v>
      </c>
      <c r="P9" s="5">
        <v>126.90104600000001</v>
      </c>
      <c r="Q9" s="5">
        <f t="shared" si="1"/>
        <v>67.499067165529908</v>
      </c>
    </row>
    <row r="10" spans="1:17" x14ac:dyDescent="0.25">
      <c r="A10" s="13">
        <v>44774</v>
      </c>
      <c r="B10" s="1">
        <v>2600</v>
      </c>
      <c r="C10" s="1">
        <v>10067.120000000001</v>
      </c>
      <c r="D10" s="1">
        <v>6777.55</v>
      </c>
      <c r="E10" s="1">
        <v>314328</v>
      </c>
      <c r="F10" s="1">
        <v>913.57867699999997</v>
      </c>
      <c r="G10" s="1">
        <v>1260.6242999999999</v>
      </c>
      <c r="H10" s="2">
        <f t="shared" si="0"/>
        <v>72.470336879909425</v>
      </c>
      <c r="I10" s="2">
        <v>2609.8000000000002</v>
      </c>
      <c r="J10" s="2">
        <v>1.8450000000000002</v>
      </c>
      <c r="K10" s="2">
        <v>2611.645</v>
      </c>
      <c r="L10" s="2">
        <v>75.364208378000015</v>
      </c>
      <c r="M10" s="2">
        <v>7.0185576447000004</v>
      </c>
      <c r="N10" s="7">
        <v>5.2466850000000001E-3</v>
      </c>
      <c r="O10" s="2">
        <v>82.388012707700028</v>
      </c>
      <c r="P10" s="2">
        <v>124.72155770000001</v>
      </c>
      <c r="Q10" s="2">
        <f t="shared" si="1"/>
        <v>66.057555908556481</v>
      </c>
    </row>
    <row r="11" spans="1:17" x14ac:dyDescent="0.25">
      <c r="A11" s="14">
        <v>44805</v>
      </c>
      <c r="B11" s="4">
        <v>2492</v>
      </c>
      <c r="C11" s="4">
        <v>9672.25</v>
      </c>
      <c r="D11" s="4">
        <v>6526.15</v>
      </c>
      <c r="E11" s="4">
        <v>305402</v>
      </c>
      <c r="F11" s="4">
        <v>828.31647799999996</v>
      </c>
      <c r="G11" s="4">
        <v>1213.8638999999998</v>
      </c>
      <c r="H11" s="5">
        <f t="shared" si="0"/>
        <v>68.238002464691476</v>
      </c>
      <c r="I11" s="5">
        <v>2470.634</v>
      </c>
      <c r="J11" s="5">
        <v>2.9899999999999993</v>
      </c>
      <c r="K11" s="5">
        <v>2473.6239999999998</v>
      </c>
      <c r="L11" s="5">
        <v>67.953660158999995</v>
      </c>
      <c r="M11" s="5">
        <v>6.7771784979999996</v>
      </c>
      <c r="N11" s="6">
        <v>8.7208400000000005E-3</v>
      </c>
      <c r="O11" s="5">
        <v>74.739559496999973</v>
      </c>
      <c r="P11" s="5">
        <v>121.01309739999999</v>
      </c>
      <c r="Q11" s="5">
        <f t="shared" si="1"/>
        <v>61.761545735792382</v>
      </c>
    </row>
    <row r="12" spans="1:17" x14ac:dyDescent="0.25">
      <c r="A12" s="13">
        <v>44835</v>
      </c>
      <c r="B12" s="1">
        <v>2467</v>
      </c>
      <c r="C12" s="1">
        <v>9537.5499999999993</v>
      </c>
      <c r="D12" s="1">
        <v>6445.1269999999995</v>
      </c>
      <c r="E12" s="1">
        <v>318809</v>
      </c>
      <c r="F12" s="1">
        <v>864.20481000000007</v>
      </c>
      <c r="G12" s="1">
        <v>1198.7936219999999</v>
      </c>
      <c r="H12" s="2">
        <f t="shared" si="0"/>
        <v>72.089540196102249</v>
      </c>
      <c r="I12" s="2">
        <v>2319.6831000000006</v>
      </c>
      <c r="J12" s="2">
        <v>34.546000000000006</v>
      </c>
      <c r="K12" s="2">
        <v>2354.2291000000005</v>
      </c>
      <c r="L12" s="2">
        <v>71.345159662</v>
      </c>
      <c r="M12" s="2">
        <v>6.2625481582000004</v>
      </c>
      <c r="N12" s="7">
        <v>8.8167355000000003E-2</v>
      </c>
      <c r="O12" s="2">
        <v>77.695875175200015</v>
      </c>
      <c r="P12" s="2">
        <v>117.26714250000001</v>
      </c>
      <c r="Q12" s="2">
        <f t="shared" si="1"/>
        <v>66.255451884316201</v>
      </c>
    </row>
    <row r="13" spans="1:17" x14ac:dyDescent="0.25">
      <c r="A13" s="14">
        <v>44866</v>
      </c>
      <c r="B13" s="4">
        <v>2554</v>
      </c>
      <c r="C13" s="4">
        <v>9893.39</v>
      </c>
      <c r="D13" s="4">
        <v>6592.1030000000001</v>
      </c>
      <c r="E13" s="4">
        <v>322177</v>
      </c>
      <c r="F13" s="4">
        <v>871.851809</v>
      </c>
      <c r="G13" s="4">
        <v>1226.1311580000001</v>
      </c>
      <c r="H13" s="5">
        <f t="shared" si="0"/>
        <v>71.105917447046878</v>
      </c>
      <c r="I13" s="5">
        <v>2170.6469000000002</v>
      </c>
      <c r="J13" s="5">
        <v>12.706</v>
      </c>
      <c r="K13" s="5">
        <v>2183.3529000000003</v>
      </c>
      <c r="L13" s="5">
        <v>78.093738835999986</v>
      </c>
      <c r="M13" s="5">
        <v>5.9341485112000001</v>
      </c>
      <c r="N13" s="6">
        <v>3.5205394000000001E-2</v>
      </c>
      <c r="O13" s="5">
        <v>84.063092741199981</v>
      </c>
      <c r="P13" s="5">
        <v>121.28216855000001</v>
      </c>
      <c r="Q13" s="5">
        <f t="shared" si="1"/>
        <v>69.311996764424592</v>
      </c>
    </row>
    <row r="14" spans="1:17" x14ac:dyDescent="0.25">
      <c r="A14" s="13">
        <v>44896</v>
      </c>
      <c r="B14" s="1">
        <v>2732</v>
      </c>
      <c r="C14" s="1">
        <v>10655.56</v>
      </c>
      <c r="D14" s="1">
        <v>7082.4839999999995</v>
      </c>
      <c r="E14" s="1">
        <v>355424</v>
      </c>
      <c r="F14" s="1">
        <v>971.85686799999996</v>
      </c>
      <c r="G14" s="1">
        <v>1317.342024</v>
      </c>
      <c r="H14" s="2">
        <f t="shared" si="0"/>
        <v>73.774073118007493</v>
      </c>
      <c r="I14" s="2">
        <v>2120.848</v>
      </c>
      <c r="J14" s="2">
        <v>1.2249999999999999</v>
      </c>
      <c r="K14" s="2">
        <v>2122.0729999999999</v>
      </c>
      <c r="L14" s="2">
        <v>90.768061422000002</v>
      </c>
      <c r="M14" s="2">
        <v>5.917834945000001</v>
      </c>
      <c r="N14" s="7">
        <v>3.448011E-3</v>
      </c>
      <c r="O14" s="2">
        <v>96.689344378000001</v>
      </c>
      <c r="P14" s="2">
        <v>137.46206206299999</v>
      </c>
      <c r="Q14" s="2">
        <f t="shared" si="1"/>
        <v>70.338930557935669</v>
      </c>
    </row>
    <row r="15" spans="1:17" x14ac:dyDescent="0.25">
      <c r="A15" s="14">
        <v>44927</v>
      </c>
      <c r="B15" s="4">
        <v>2729</v>
      </c>
      <c r="C15" s="4">
        <v>10703.54849999999</v>
      </c>
      <c r="D15" s="4">
        <v>7083.34</v>
      </c>
      <c r="E15" s="4">
        <v>398219</v>
      </c>
      <c r="F15" s="4">
        <v>1079.6113019999998</v>
      </c>
      <c r="G15" s="4">
        <v>1317.5012400000001</v>
      </c>
      <c r="H15" s="5">
        <f t="shared" si="0"/>
        <v>81.943854716979232</v>
      </c>
      <c r="I15" s="5">
        <v>2014.18</v>
      </c>
      <c r="J15" s="5">
        <v>2.4990000000000001</v>
      </c>
      <c r="K15" s="5">
        <v>2016.6790000000001</v>
      </c>
      <c r="L15" s="5">
        <v>101.838860569</v>
      </c>
      <c r="M15" s="5">
        <v>5.6345997390000004</v>
      </c>
      <c r="N15" s="6">
        <v>7.0479269999999998E-3</v>
      </c>
      <c r="O15" s="5">
        <v>107.48050823500002</v>
      </c>
      <c r="P15" s="5">
        <v>136.74430333000004</v>
      </c>
      <c r="Q15" s="5">
        <f t="shared" si="1"/>
        <v>78.599623982595617</v>
      </c>
    </row>
    <row r="16" spans="1:17" x14ac:dyDescent="0.25">
      <c r="A16" s="13">
        <v>44958</v>
      </c>
      <c r="B16" s="1">
        <v>2481</v>
      </c>
      <c r="C16" s="1">
        <v>9685.5355999999883</v>
      </c>
      <c r="D16" s="1">
        <v>6438.5929999999998</v>
      </c>
      <c r="E16" s="1">
        <v>353788</v>
      </c>
      <c r="F16" s="1">
        <v>960.92720299999996</v>
      </c>
      <c r="G16" s="1">
        <v>1197.5782979999999</v>
      </c>
      <c r="H16" s="2">
        <f t="shared" si="0"/>
        <v>80.23919643540502</v>
      </c>
      <c r="I16" s="2">
        <v>1792.181</v>
      </c>
      <c r="J16" s="2">
        <v>3.3730000000000002</v>
      </c>
      <c r="K16" s="2">
        <v>1795.5540000000001</v>
      </c>
      <c r="L16" s="2">
        <v>86.661218208000008</v>
      </c>
      <c r="M16" s="2">
        <v>4.95448354</v>
      </c>
      <c r="N16" s="7">
        <v>9.287231E-3</v>
      </c>
      <c r="O16" s="2">
        <v>91.624988979000008</v>
      </c>
      <c r="P16" s="2">
        <v>121.642479978</v>
      </c>
      <c r="Q16" s="2">
        <f t="shared" si="1"/>
        <v>75.323183969589508</v>
      </c>
    </row>
    <row r="17" spans="1:17" x14ac:dyDescent="0.25">
      <c r="A17" s="14">
        <v>44986</v>
      </c>
      <c r="B17" s="4">
        <v>2759</v>
      </c>
      <c r="C17" s="4">
        <v>10904.45</v>
      </c>
      <c r="D17" s="4">
        <v>6497.81</v>
      </c>
      <c r="E17" s="4">
        <v>370356</v>
      </c>
      <c r="F17" s="4">
        <v>930.29836</v>
      </c>
      <c r="G17" s="4">
        <v>1208.5930600000002</v>
      </c>
      <c r="H17" s="5">
        <f t="shared" si="0"/>
        <v>76.97366390636067</v>
      </c>
      <c r="I17" s="5">
        <v>2311.62</v>
      </c>
      <c r="J17" s="5">
        <v>2.5569999999999999</v>
      </c>
      <c r="K17" s="5">
        <v>2314.1769999999997</v>
      </c>
      <c r="L17" s="5">
        <v>95.511679889999996</v>
      </c>
      <c r="M17" s="5">
        <v>6.4413777799999998</v>
      </c>
      <c r="N17" s="6">
        <v>7.3401199999999995E-3</v>
      </c>
      <c r="O17" s="5">
        <v>101.96039778999999</v>
      </c>
      <c r="P17" s="5">
        <v>141.88442888</v>
      </c>
      <c r="Q17" s="5">
        <f t="shared" si="1"/>
        <v>71.861583822023121</v>
      </c>
    </row>
    <row r="18" spans="1:17" x14ac:dyDescent="0.25">
      <c r="A18" s="8" t="s">
        <v>22</v>
      </c>
      <c r="B18" s="9">
        <f>SUM(B6:B17)</f>
        <v>30869</v>
      </c>
      <c r="C18" s="9">
        <f t="shared" ref="C18:F18" si="2">SUM(C6:C17)</f>
        <v>119698.21743333331</v>
      </c>
      <c r="D18" s="9">
        <f t="shared" si="2"/>
        <v>79503.27399999999</v>
      </c>
      <c r="E18" s="9">
        <f t="shared" si="2"/>
        <v>4098086</v>
      </c>
      <c r="F18" s="9">
        <f t="shared" si="2"/>
        <v>11092.851418999999</v>
      </c>
      <c r="G18" s="9">
        <f>SUM(G6:G17)</f>
        <v>14787.609364</v>
      </c>
      <c r="H18" s="10">
        <f t="shared" ref="H18" si="3">F18/G18*100</f>
        <v>75.014501302727268</v>
      </c>
      <c r="I18" s="10">
        <f t="shared" ref="I18:P18" si="4">SUM(I6:I17)</f>
        <v>26245.760000000002</v>
      </c>
      <c r="J18" s="10">
        <f t="shared" si="4"/>
        <v>76.319000000000003</v>
      </c>
      <c r="K18" s="10">
        <f t="shared" si="4"/>
        <v>26322.079000000002</v>
      </c>
      <c r="L18" s="10">
        <f t="shared" si="4"/>
        <v>901.6265839859999</v>
      </c>
      <c r="M18" s="10">
        <f t="shared" si="4"/>
        <v>72.217513453400002</v>
      </c>
      <c r="N18" s="11">
        <f t="shared" si="4"/>
        <v>0.20660755300000003</v>
      </c>
      <c r="O18" s="10">
        <f t="shared" si="4"/>
        <v>974.05070499240003</v>
      </c>
      <c r="P18" s="10">
        <f t="shared" si="4"/>
        <v>1362.5202545410002</v>
      </c>
      <c r="Q18" s="10">
        <f t="shared" ref="Q18" si="5">O18/P18*100</f>
        <v>71.488897265643502</v>
      </c>
    </row>
    <row r="19" spans="1:17" ht="15" customHeight="1" x14ac:dyDescent="0.25">
      <c r="A19" s="17" t="s">
        <v>19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2022-04-25T06:56:21Z</cp:lastPrinted>
  <dcterms:created xsi:type="dcterms:W3CDTF">2020-06-09T07:57:30Z</dcterms:created>
  <dcterms:modified xsi:type="dcterms:W3CDTF">2023-09-19T10:22:15Z</dcterms:modified>
</cp:coreProperties>
</file>