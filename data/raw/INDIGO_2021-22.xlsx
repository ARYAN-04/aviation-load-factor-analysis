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Revised Data of Non Scheduled Int Opertn\Pdf and excel Dec 2021\Excel Dec 2021\"/>
    </mc:Choice>
  </mc:AlternateContent>
  <bookViews>
    <workbookView xWindow="0" yWindow="0" windowWidth="24000" windowHeight="97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I73" i="2"/>
  <c r="K73" i="2" s="1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Q69" i="2"/>
  <c r="O69" i="2"/>
  <c r="K69" i="2"/>
  <c r="H69" i="2"/>
  <c r="O68" i="2"/>
  <c r="Q68" i="2" s="1"/>
  <c r="K68" i="2"/>
  <c r="H68" i="2"/>
  <c r="Q67" i="2"/>
  <c r="O67" i="2"/>
  <c r="K67" i="2"/>
  <c r="H67" i="2"/>
  <c r="O66" i="2"/>
  <c r="Q66" i="2" s="1"/>
  <c r="K66" i="2"/>
  <c r="H66" i="2"/>
  <c r="Q65" i="2"/>
  <c r="O65" i="2"/>
  <c r="K65" i="2"/>
  <c r="H65" i="2"/>
  <c r="O64" i="2"/>
  <c r="Q64" i="2" s="1"/>
  <c r="K64" i="2"/>
  <c r="H64" i="2"/>
  <c r="Q63" i="2"/>
  <c r="O63" i="2"/>
  <c r="K63" i="2"/>
  <c r="H63" i="2"/>
  <c r="O62" i="2"/>
  <c r="Q62" i="2" s="1"/>
  <c r="K62" i="2"/>
  <c r="H62" i="2"/>
  <c r="Q61" i="2"/>
  <c r="O61" i="2"/>
  <c r="K61" i="2"/>
  <c r="H61" i="2"/>
  <c r="P54" i="2"/>
  <c r="Q54" i="2" s="1"/>
  <c r="O54" i="2"/>
  <c r="N54" i="2"/>
  <c r="M54" i="2"/>
  <c r="L54" i="2"/>
  <c r="J54" i="2"/>
  <c r="I54" i="2"/>
  <c r="K54" i="2" s="1"/>
  <c r="H54" i="2"/>
  <c r="G54" i="2"/>
  <c r="F54" i="2"/>
  <c r="E54" i="2"/>
  <c r="D54" i="2"/>
  <c r="C54" i="2"/>
  <c r="B54" i="2"/>
  <c r="O53" i="2"/>
  <c r="Q53" i="2" s="1"/>
  <c r="K53" i="2"/>
  <c r="H53" i="2"/>
  <c r="Q52" i="2"/>
  <c r="O52" i="2"/>
  <c r="K52" i="2"/>
  <c r="H52" i="2"/>
  <c r="O51" i="2"/>
  <c r="Q51" i="2" s="1"/>
  <c r="K51" i="2"/>
  <c r="H51" i="2"/>
  <c r="Q50" i="2"/>
  <c r="O50" i="2"/>
  <c r="K50" i="2"/>
  <c r="H50" i="2"/>
  <c r="O49" i="2"/>
  <c r="Q49" i="2" s="1"/>
  <c r="K49" i="2"/>
  <c r="H49" i="2"/>
  <c r="Q48" i="2"/>
  <c r="O48" i="2"/>
  <c r="K48" i="2"/>
  <c r="H48" i="2"/>
  <c r="O47" i="2"/>
  <c r="Q47" i="2" s="1"/>
  <c r="K47" i="2"/>
  <c r="H47" i="2"/>
  <c r="Q46" i="2"/>
  <c r="O46" i="2"/>
  <c r="K46" i="2"/>
  <c r="H46" i="2"/>
  <c r="O45" i="2"/>
  <c r="Q45" i="2" s="1"/>
  <c r="K45" i="2"/>
  <c r="H45" i="2"/>
  <c r="Q44" i="2"/>
  <c r="O44" i="2"/>
  <c r="K44" i="2"/>
  <c r="H44" i="2"/>
  <c r="O43" i="2"/>
  <c r="Q43" i="2" s="1"/>
  <c r="K43" i="2"/>
  <c r="H43" i="2"/>
  <c r="Q42" i="2"/>
  <c r="O42" i="2"/>
  <c r="K42" i="2"/>
  <c r="H42" i="2"/>
  <c r="P35" i="2"/>
  <c r="O35" i="2"/>
  <c r="Q35" i="2" s="1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O34" i="2"/>
  <c r="Q34" i="2" s="1"/>
  <c r="K34" i="2"/>
  <c r="H34" i="2"/>
  <c r="Q33" i="2"/>
  <c r="O33" i="2"/>
  <c r="K33" i="2"/>
  <c r="H33" i="2"/>
  <c r="O32" i="2"/>
  <c r="Q32" i="2" s="1"/>
  <c r="K32" i="2"/>
  <c r="H32" i="2"/>
  <c r="Q31" i="2"/>
  <c r="O31" i="2"/>
  <c r="K31" i="2"/>
  <c r="H31" i="2"/>
  <c r="O30" i="2"/>
  <c r="Q30" i="2" s="1"/>
  <c r="K30" i="2"/>
  <c r="H30" i="2"/>
  <c r="Q29" i="2"/>
  <c r="O29" i="2"/>
  <c r="K29" i="2"/>
  <c r="H29" i="2"/>
  <c r="O28" i="2"/>
  <c r="Q28" i="2" s="1"/>
  <c r="K28" i="2"/>
  <c r="H28" i="2"/>
  <c r="Q27" i="2"/>
  <c r="O27" i="2"/>
  <c r="K27" i="2"/>
  <c r="H27" i="2"/>
  <c r="O26" i="2"/>
  <c r="Q26" i="2" s="1"/>
  <c r="K26" i="2"/>
  <c r="H26" i="2"/>
  <c r="Q25" i="2"/>
  <c r="O25" i="2"/>
  <c r="K25" i="2"/>
  <c r="H25" i="2"/>
  <c r="O24" i="2"/>
  <c r="Q24" i="2" s="1"/>
  <c r="K24" i="2"/>
  <c r="H24" i="2"/>
  <c r="Q23" i="2"/>
  <c r="O23" i="2"/>
  <c r="K23" i="2"/>
  <c r="H23" i="2"/>
  <c r="P16" i="2"/>
  <c r="O16" i="2"/>
  <c r="Q16" i="2" s="1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O15" i="2"/>
  <c r="Q15" i="2" s="1"/>
  <c r="K15" i="2"/>
  <c r="H15" i="2"/>
  <c r="Q14" i="2"/>
  <c r="O14" i="2"/>
  <c r="K14" i="2"/>
  <c r="H14" i="2"/>
  <c r="O13" i="2"/>
  <c r="Q13" i="2" s="1"/>
  <c r="K13" i="2"/>
  <c r="H13" i="2"/>
  <c r="Q12" i="2"/>
  <c r="O12" i="2"/>
  <c r="K12" i="2"/>
  <c r="H12" i="2"/>
  <c r="O11" i="2"/>
  <c r="Q11" i="2" s="1"/>
  <c r="K11" i="2"/>
  <c r="H11" i="2"/>
  <c r="Q10" i="2"/>
  <c r="O10" i="2"/>
  <c r="K10" i="2"/>
  <c r="H10" i="2"/>
  <c r="O9" i="2"/>
  <c r="Q9" i="2" s="1"/>
  <c r="K9" i="2"/>
  <c r="H9" i="2"/>
  <c r="Q8" i="2"/>
  <c r="O8" i="2"/>
  <c r="K8" i="2"/>
  <c r="H8" i="2"/>
  <c r="O7" i="2"/>
  <c r="Q7" i="2" s="1"/>
  <c r="K7" i="2"/>
  <c r="H7" i="2"/>
  <c r="Q6" i="2"/>
  <c r="O6" i="2"/>
  <c r="K6" i="2"/>
  <c r="H6" i="2"/>
  <c r="O5" i="2"/>
  <c r="Q5" i="2" s="1"/>
  <c r="K5" i="2"/>
  <c r="H5" i="2"/>
  <c r="Q4" i="2"/>
  <c r="O4" i="2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<sst xmlns="http://schemas.openxmlformats.org/spreadsheetml/2006/main" count="153" uniqueCount="42">
  <si>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</si>
  <si>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INDIGO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</si>
  <si>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</si>
  <si>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</si>
  <si>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</si>
  <si>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</si>
  <si>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</si>
  <si>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</si>
  <si>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</si>
  <si>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</si>
  <si>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</si>
  <si>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</si>
  <si>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</si>
  <si>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</si>
  <si>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</si>
  <si>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</si>
  <si>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</si>
  <si>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</si>
  <si>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</si>
  <si>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</si>
  <si>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</si>
  <si>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</si>
  <si>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</si>
  <si>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</si>
  <si>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</si>
  <si>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</si>
  <si>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</si>
  <si>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</si>
  <si>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</si>
  <si>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</si>
  <si>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</si>
  <si>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</si>
  <si>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</si>
  <si>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</si>
  <si>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</si>
  <si>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INDIGO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</si>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</sst>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Revised%20Data%20of%20Non%20Scheduled%20Int%20Opertn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Data"/>
      <sheetName val="Sheet2"/>
      <sheetName val="Sheet4"/>
      <sheetName val="Sheet3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1" transitionEvaluation="1" transitionEntry="1" codeName="Sheet12"/>
  <dimension ref="A1:Q494"/>
  <sheetViews>
    <sheetView showGridLines="0" tabSelected="1" view="pageBreakPreview" topLeftCell="A61" zoomScaleNormal="85" zoomScaleSheetLayoutView="100" workbookViewId="0">
      <selection activeCell="C71" sqref="C71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5">
        <v>2021</v>
      </c>
      <c r="B1" s="165"/>
      <c r="C1" s="166" t="s">
        <v>0</v>
      </c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7" t="s">
        <v>1</v>
      </c>
      <c r="P1" s="167"/>
      <c r="Q1" s="167"/>
    </row>
    <row r="2" spans="1:17" ht="33" customHeight="1" x14ac:dyDescent="0.3">
      <c r="A2" s="168" t="s">
        <v>2</v>
      </c>
      <c r="B2" s="170" t="s">
        <v>3</v>
      </c>
      <c r="C2" s="170"/>
      <c r="D2" s="170"/>
      <c r="E2" s="171" t="s">
        <v>4</v>
      </c>
      <c r="F2" s="171" t="s">
        <v>5</v>
      </c>
      <c r="G2" s="171" t="s">
        <v>6</v>
      </c>
      <c r="H2" s="171" t="s">
        <v>7</v>
      </c>
      <c r="I2" s="170" t="s">
        <v>8</v>
      </c>
      <c r="J2" s="170"/>
      <c r="K2" s="170"/>
      <c r="L2" s="170" t="s">
        <v>9</v>
      </c>
      <c r="M2" s="170"/>
      <c r="N2" s="170"/>
      <c r="O2" s="170"/>
      <c r="P2" s="171" t="s">
        <v>10</v>
      </c>
      <c r="Q2" s="171" t="s">
        <v>11</v>
      </c>
    </row>
    <row r="3" spans="1:17" ht="155.25" customHeight="1" x14ac:dyDescent="0.3">
      <c r="A3" s="169"/>
      <c r="B3" s="2" t="s">
        <v>12</v>
      </c>
      <c r="C3" s="2" t="s">
        <v>13</v>
      </c>
      <c r="D3" s="2" t="s">
        <v>14</v>
      </c>
      <c r="E3" s="171"/>
      <c r="F3" s="171"/>
      <c r="G3" s="171"/>
      <c r="H3" s="171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71"/>
      <c r="Q3" s="171"/>
    </row>
    <row r="4" spans="1:17" ht="23.1" customHeight="1" x14ac:dyDescent="0.3">
      <c r="A4" s="4" t="s">
        <v>22</v>
      </c>
      <c r="B4" s="5">
        <v>34461</v>
      </c>
      <c r="C4" s="5">
        <v>61464.9</v>
      </c>
      <c r="D4" s="6">
        <v>31362.842000000001</v>
      </c>
      <c r="E4" s="7">
        <v>4202712</v>
      </c>
      <c r="F4" s="5">
        <v>3983767</v>
      </c>
      <c r="G4" s="5">
        <v>5746935</v>
      </c>
      <c r="H4" s="8">
        <f>IFERROR(F4/G4*100," ")</f>
        <v>69.319854844364869</v>
      </c>
      <c r="I4" s="9">
        <v>16154.855310000008</v>
      </c>
      <c r="J4" s="10">
        <v>2151.0052999999989</v>
      </c>
      <c r="K4" s="8">
        <f>IF(AND(ISBLANK(I4),ISBLANK(J4))=TRUE,"",I4+J4)</f>
        <v>18305.860610000007</v>
      </c>
      <c r="L4" s="9">
        <v>358449.52311564906</v>
      </c>
      <c r="M4" s="10">
        <v>18385.233416999999</v>
      </c>
      <c r="N4" s="10">
        <v>1964.64011777</v>
      </c>
      <c r="O4" s="8">
        <f>IF(AND(ISBLANK(L4),ISBLANK(M4),ISBLANK(N4))=TRUE,"",L4+M4+N4)</f>
        <v>378799.39665041905</v>
      </c>
      <c r="P4" s="10">
        <v>602126.95019700006</v>
      </c>
      <c r="Q4" s="8">
        <f>IFERROR(O4/P4*100," ")</f>
        <v>62.910221262556988</v>
      </c>
    </row>
    <row r="5" spans="1:17" ht="23.1" customHeight="1" x14ac:dyDescent="0.3">
      <c r="A5" s="11" t="s">
        <v>23</v>
      </c>
      <c r="B5" s="12">
        <v>32690</v>
      </c>
      <c r="C5" s="12">
        <v>58239.43</v>
      </c>
      <c r="D5" s="11">
        <v>29692.342000000001</v>
      </c>
      <c r="E5" s="13">
        <v>4238466</v>
      </c>
      <c r="F5" s="12">
        <v>4039127</v>
      </c>
      <c r="G5" s="12">
        <v>5431221</v>
      </c>
      <c r="H5" s="14">
        <f t="shared" ref="H5:H16" si="0">IFERROR(F5/G5*100," ")</f>
        <v>74.368673268865322</v>
      </c>
      <c r="I5" s="15">
        <v>16743.805050000003</v>
      </c>
      <c r="J5" s="16">
        <v>2101.3731799999996</v>
      </c>
      <c r="K5" s="14">
        <f t="shared" ref="K5:K16" si="1">IF(AND(ISBLANK(I5),ISBLANK(J5))=TRUE,"",I5+J5)</f>
        <v>18845.178230000001</v>
      </c>
      <c r="L5" s="15">
        <v>363480.5081095706</v>
      </c>
      <c r="M5" s="16">
        <v>18924.991257940001</v>
      </c>
      <c r="N5" s="16">
        <v>1861.8305944199999</v>
      </c>
      <c r="O5" s="14">
        <f t="shared" ref="O5:O16" si="2">IF(AND(ISBLANK(L5),ISBLANK(M5),ISBLANK(N5))=TRUE,"",L5+M5+N5)</f>
        <v>384267.32996193063</v>
      </c>
      <c r="P5" s="16">
        <v>571151.98021299904</v>
      </c>
      <c r="Q5" s="14">
        <f t="shared" ref="Q5:Q16" si="3">IFERROR(O5/P5*100," ")</f>
        <v>67.279348277603148</v>
      </c>
    </row>
    <row r="6" spans="1:17" ht="23.1" customHeight="1" x14ac:dyDescent="0.3">
      <c r="A6" s="17" t="s">
        <v>24</v>
      </c>
      <c r="B6" s="18">
        <v>36601</v>
      </c>
      <c r="C6" s="18">
        <v>64873.2</v>
      </c>
      <c r="D6" s="17">
        <v>33192.900999999998</v>
      </c>
      <c r="E6" s="19">
        <v>4184920</v>
      </c>
      <c r="F6" s="18">
        <v>4038028</v>
      </c>
      <c r="G6" s="18">
        <v>6081170</v>
      </c>
      <c r="H6" s="20">
        <f t="shared" si="0"/>
        <v>66.402156164027645</v>
      </c>
      <c r="I6" s="21">
        <v>19304.063279999998</v>
      </c>
      <c r="J6" s="22">
        <v>2101.2463900000012</v>
      </c>
      <c r="K6" s="20">
        <f t="shared" si="1"/>
        <v>21405.309669999999</v>
      </c>
      <c r="L6" s="21">
        <v>363374.05923000001</v>
      </c>
      <c r="M6" s="22">
        <v>21553.923664540001</v>
      </c>
      <c r="N6" s="22">
        <v>1965.49113087</v>
      </c>
      <c r="O6" s="20">
        <f t="shared" si="2"/>
        <v>386893.47402541002</v>
      </c>
      <c r="P6" s="22">
        <v>643066.86671699805</v>
      </c>
      <c r="Q6" s="20">
        <f t="shared" si="3"/>
        <v>60.163801627751212</v>
      </c>
    </row>
    <row r="7" spans="1:17" ht="23.1" customHeight="1" x14ac:dyDescent="0.3">
      <c r="A7" s="11" t="s">
        <v>25</v>
      </c>
      <c r="B7" s="12">
        <v>31374</v>
      </c>
      <c r="C7" s="12">
        <v>54525.38</v>
      </c>
      <c r="D7" s="11">
        <v>28324.743999999999</v>
      </c>
      <c r="E7" s="13">
        <v>3083318</v>
      </c>
      <c r="F7" s="12">
        <v>3056489</v>
      </c>
      <c r="G7" s="12">
        <v>5208190</v>
      </c>
      <c r="H7" s="14">
        <f t="shared" si="0"/>
        <v>58.686203844329796</v>
      </c>
      <c r="I7" s="15">
        <v>17706.902200000011</v>
      </c>
      <c r="J7" s="16">
        <v>1732.68625</v>
      </c>
      <c r="K7" s="14">
        <f t="shared" si="1"/>
        <v>19439.58845000001</v>
      </c>
      <c r="L7" s="15">
        <v>275067.81440999999</v>
      </c>
      <c r="M7" s="16">
        <v>19756.398233190001</v>
      </c>
      <c r="N7" s="16">
        <v>1649.0073396499999</v>
      </c>
      <c r="O7" s="14">
        <f t="shared" si="2"/>
        <v>296473.21998284</v>
      </c>
      <c r="P7" s="16">
        <v>552999.03638199996</v>
      </c>
      <c r="Q7" s="14">
        <f t="shared" si="3"/>
        <v>53.611887268831083</v>
      </c>
    </row>
    <row r="8" spans="1:17" s="23" customFormat="1" ht="30" customHeight="1" x14ac:dyDescent="0.25">
      <c r="A8" s="17" t="s">
        <v>26</v>
      </c>
      <c r="B8" s="18">
        <v>14121</v>
      </c>
      <c r="C8" s="18">
        <v>24389.03</v>
      </c>
      <c r="D8" s="17">
        <v>12702.032999999999</v>
      </c>
      <c r="E8" s="19">
        <v>1168738</v>
      </c>
      <c r="F8" s="18">
        <v>1168028</v>
      </c>
      <c r="G8" s="18">
        <v>2281799</v>
      </c>
      <c r="H8" s="20">
        <f t="shared" si="0"/>
        <v>51.188908400783774</v>
      </c>
      <c r="I8" s="21">
        <v>12146.47</v>
      </c>
      <c r="J8" s="22">
        <v>1224.5610000000008</v>
      </c>
      <c r="K8" s="20">
        <f t="shared" si="1"/>
        <v>13371.031000000001</v>
      </c>
      <c r="L8" s="21">
        <v>105073.82775</v>
      </c>
      <c r="M8" s="22">
        <v>13674.423443</v>
      </c>
      <c r="N8" s="22">
        <v>1115.4793560000001</v>
      </c>
      <c r="O8" s="20">
        <f t="shared" si="2"/>
        <v>119863.730549</v>
      </c>
      <c r="P8" s="22">
        <v>241919.25063900099</v>
      </c>
      <c r="Q8" s="20">
        <f t="shared" si="3"/>
        <v>49.546999766407254</v>
      </c>
    </row>
    <row r="9" spans="1:17" ht="23.1" customHeight="1" x14ac:dyDescent="0.3">
      <c r="A9" s="11" t="s">
        <v>27</v>
      </c>
      <c r="B9" s="12">
        <v>16688</v>
      </c>
      <c r="C9" s="12">
        <v>28631.07</v>
      </c>
      <c r="D9" s="11">
        <v>14493.782999999999</v>
      </c>
      <c r="E9" s="13">
        <v>1701955</v>
      </c>
      <c r="F9" s="12">
        <v>1607361</v>
      </c>
      <c r="G9" s="12">
        <v>2563714</v>
      </c>
      <c r="H9" s="14">
        <f t="shared" si="0"/>
        <v>62.696580039739224</v>
      </c>
      <c r="I9" s="15">
        <v>13775.17</v>
      </c>
      <c r="J9" s="16">
        <v>1491.4140000000009</v>
      </c>
      <c r="K9" s="14">
        <f t="shared" si="1"/>
        <v>15266.584000000001</v>
      </c>
      <c r="L9" s="15">
        <v>144630.87345000001</v>
      </c>
      <c r="M9" s="16">
        <v>16048.956092</v>
      </c>
      <c r="N9" s="16">
        <v>1344.809154</v>
      </c>
      <c r="O9" s="14">
        <f t="shared" si="2"/>
        <v>162024.63869600001</v>
      </c>
      <c r="P9" s="16">
        <v>271228.59762800002</v>
      </c>
      <c r="Q9" s="14">
        <f t="shared" si="3"/>
        <v>59.737299131790941</v>
      </c>
    </row>
    <row r="10" spans="1:17" ht="23.1" customHeight="1" x14ac:dyDescent="0.3">
      <c r="A10" s="17" t="s">
        <v>28</v>
      </c>
      <c r="B10" s="18">
        <v>26210</v>
      </c>
      <c r="C10" s="18">
        <v>45409.19</v>
      </c>
      <c r="D10" s="17">
        <v>23124.080000000002</v>
      </c>
      <c r="E10" s="19">
        <v>2932469</v>
      </c>
      <c r="F10" s="18">
        <v>2766997</v>
      </c>
      <c r="G10" s="18">
        <v>4178445</v>
      </c>
      <c r="H10" s="20">
        <f t="shared" si="0"/>
        <v>66.2207352256641</v>
      </c>
      <c r="I10" s="21">
        <v>17357.811000000002</v>
      </c>
      <c r="J10" s="22">
        <v>1862.876</v>
      </c>
      <c r="K10" s="20">
        <f t="shared" si="1"/>
        <v>19220.687000000002</v>
      </c>
      <c r="L10" s="21">
        <v>248993.68904999999</v>
      </c>
      <c r="M10" s="22">
        <v>20067.061900000001</v>
      </c>
      <c r="N10" s="22">
        <v>1749.959599</v>
      </c>
      <c r="O10" s="20">
        <f t="shared" si="2"/>
        <v>270810.71054900001</v>
      </c>
      <c r="P10" s="22">
        <v>466797.99717900099</v>
      </c>
      <c r="Q10" s="20">
        <f t="shared" si="3"/>
        <v>58.014539947812459</v>
      </c>
    </row>
    <row r="11" spans="1:17" ht="23.1" customHeight="1" x14ac:dyDescent="0.3">
      <c r="A11" s="11" t="s">
        <v>29</v>
      </c>
      <c r="B11" s="12">
        <v>30288</v>
      </c>
      <c r="C11" s="12">
        <v>51609.56</v>
      </c>
      <c r="D11" s="11">
        <v>26443.812999999998</v>
      </c>
      <c r="E11" s="13">
        <v>3816286</v>
      </c>
      <c r="F11" s="12">
        <v>3549811</v>
      </c>
      <c r="G11" s="12">
        <v>4796093</v>
      </c>
      <c r="H11" s="14">
        <f t="shared" si="0"/>
        <v>74.014640666892831</v>
      </c>
      <c r="I11" s="15">
        <v>18552.037</v>
      </c>
      <c r="J11" s="16">
        <v>1939.9940000000017</v>
      </c>
      <c r="K11" s="14">
        <f t="shared" si="1"/>
        <v>20492.031000000003</v>
      </c>
      <c r="L11" s="15">
        <v>319464.51578999998</v>
      </c>
      <c r="M11" s="16">
        <v>21372.043538000002</v>
      </c>
      <c r="N11" s="16">
        <v>1804.243502</v>
      </c>
      <c r="O11" s="14">
        <f t="shared" si="2"/>
        <v>342640.80283</v>
      </c>
      <c r="P11" s="16">
        <v>538163.32799100003</v>
      </c>
      <c r="Q11" s="14">
        <f t="shared" si="3"/>
        <v>63.668552836757051</v>
      </c>
    </row>
    <row r="12" spans="1:17" ht="23.1" customHeight="1" x14ac:dyDescent="0.3">
      <c r="A12" s="17" t="s">
        <v>30</v>
      </c>
      <c r="B12" s="18">
        <v>32082</v>
      </c>
      <c r="C12" s="18">
        <v>54745.37</v>
      </c>
      <c r="D12" s="17">
        <v>27657</v>
      </c>
      <c r="E12" s="19">
        <v>3958375</v>
      </c>
      <c r="F12" s="18">
        <v>3668544</v>
      </c>
      <c r="G12" s="18">
        <v>4986115</v>
      </c>
      <c r="H12" s="20">
        <f t="shared" si="0"/>
        <v>73.57519832575062</v>
      </c>
      <c r="I12" s="21">
        <v>18535.244999999999</v>
      </c>
      <c r="J12" s="22">
        <v>1881.7510000000004</v>
      </c>
      <c r="K12" s="20">
        <f t="shared" si="1"/>
        <v>20416.995999999999</v>
      </c>
      <c r="L12" s="21">
        <v>330084</v>
      </c>
      <c r="M12" s="22">
        <v>21398</v>
      </c>
      <c r="N12" s="22">
        <v>1785</v>
      </c>
      <c r="O12" s="20">
        <f t="shared" si="2"/>
        <v>353267</v>
      </c>
      <c r="P12" s="22">
        <v>557736</v>
      </c>
      <c r="Q12" s="20">
        <f t="shared" si="3"/>
        <v>63.33946526672117</v>
      </c>
    </row>
    <row r="13" spans="1:17" ht="23.1" customHeight="1" x14ac:dyDescent="0.3">
      <c r="A13" s="11" t="s">
        <v>31</v>
      </c>
      <c r="B13" s="12">
        <v>36567</v>
      </c>
      <c r="C13" s="12">
        <v>63408.19</v>
      </c>
      <c r="D13" s="11">
        <v>31914.095000000001</v>
      </c>
      <c r="E13" s="13">
        <v>4807415</v>
      </c>
      <c r="F13" s="12">
        <v>4515676</v>
      </c>
      <c r="G13" s="12">
        <v>5792852</v>
      </c>
      <c r="H13" s="14">
        <f t="shared" si="0"/>
        <v>77.952552559602765</v>
      </c>
      <c r="I13" s="15">
        <v>20005.519</v>
      </c>
      <c r="J13" s="16">
        <v>1640.3580000000002</v>
      </c>
      <c r="K13" s="14">
        <f t="shared" si="1"/>
        <v>21645.877</v>
      </c>
      <c r="L13" s="15">
        <v>406385.47484999901</v>
      </c>
      <c r="M13" s="16">
        <v>23148.153412</v>
      </c>
      <c r="N13" s="16">
        <v>1562.9854479999999</v>
      </c>
      <c r="O13" s="14">
        <f t="shared" si="2"/>
        <v>431096.61370999902</v>
      </c>
      <c r="P13" s="16">
        <v>647698.43744400097</v>
      </c>
      <c r="Q13" s="14">
        <f t="shared" si="3"/>
        <v>66.558229692698774</v>
      </c>
    </row>
    <row r="14" spans="1:17" ht="23.1" customHeight="1" x14ac:dyDescent="0.3">
      <c r="A14" s="17" t="s">
        <v>32</v>
      </c>
      <c r="B14" s="18">
        <v>41846</v>
      </c>
      <c r="C14" s="18">
        <v>72562.5</v>
      </c>
      <c r="D14" s="17">
        <v>36288.845999999998</v>
      </c>
      <c r="E14" s="19">
        <v>5706021</v>
      </c>
      <c r="F14" s="18">
        <v>5357596</v>
      </c>
      <c r="G14" s="18">
        <v>6657154</v>
      </c>
      <c r="H14" s="20">
        <f t="shared" si="0"/>
        <v>80.478775164281913</v>
      </c>
      <c r="I14" s="21">
        <v>17274.17400000001</v>
      </c>
      <c r="J14" s="22">
        <v>1660.4189999999976</v>
      </c>
      <c r="K14" s="20">
        <f t="shared" si="1"/>
        <v>18934.593000000008</v>
      </c>
      <c r="L14" s="21">
        <v>482128.57475999999</v>
      </c>
      <c r="M14" s="22">
        <v>20089.345810999999</v>
      </c>
      <c r="N14" s="22">
        <v>1548.8173959999999</v>
      </c>
      <c r="O14" s="20">
        <f t="shared" si="2"/>
        <v>503766.73796699999</v>
      </c>
      <c r="P14" s="22">
        <v>982313.42367199704</v>
      </c>
      <c r="Q14" s="20">
        <f t="shared" si="3"/>
        <v>51.283706994847314</v>
      </c>
    </row>
    <row r="15" spans="1:17" ht="23.1" customHeight="1" x14ac:dyDescent="0.3">
      <c r="A15" s="24" t="s">
        <v>33</v>
      </c>
      <c r="B15" s="25">
        <v>44893</v>
      </c>
      <c r="C15" s="25">
        <v>78309.179999999993</v>
      </c>
      <c r="D15" s="26">
        <v>39262.646000000001</v>
      </c>
      <c r="E15" s="27">
        <v>6140654</v>
      </c>
      <c r="F15" s="25">
        <v>5770309</v>
      </c>
      <c r="G15" s="25">
        <v>7195573</v>
      </c>
      <c r="H15" s="28">
        <f t="shared" si="0"/>
        <v>80.19248779770561</v>
      </c>
      <c r="I15" s="29">
        <v>19217.113000000001</v>
      </c>
      <c r="J15" s="30">
        <v>1803.6910000000009</v>
      </c>
      <c r="K15" s="28">
        <f t="shared" si="1"/>
        <v>21020.804000000004</v>
      </c>
      <c r="L15" s="29">
        <v>519286.48101000098</v>
      </c>
      <c r="M15" s="30">
        <v>22407.270207000001</v>
      </c>
      <c r="N15" s="30">
        <v>1684.478466</v>
      </c>
      <c r="O15" s="28">
        <f t="shared" si="2"/>
        <v>543378.22968300094</v>
      </c>
      <c r="P15" s="16">
        <v>803039.95972800103</v>
      </c>
      <c r="Q15" s="14">
        <f t="shared" si="3"/>
        <v>67.665154529427085</v>
      </c>
    </row>
    <row r="16" spans="1:17" ht="23.1" customHeight="1" x14ac:dyDescent="0.3">
      <c r="A16" s="31" t="s">
        <v>34</v>
      </c>
      <c r="B16" s="32">
        <f t="shared" ref="B16:G16" si="4">SUM(B4:B15)</f>
        <v>377821</v>
      </c>
      <c r="C16" s="32">
        <f t="shared" si="4"/>
        <v>658167</v>
      </c>
      <c r="D16" s="32">
        <f t="shared" si="4"/>
        <v>334459.125</v>
      </c>
      <c r="E16" s="32">
        <f t="shared" si="4"/>
        <v>45941329</v>
      </c>
      <c r="F16" s="32">
        <f t="shared" si="4"/>
        <v>43521733</v>
      </c>
      <c r="G16" s="32">
        <f t="shared" si="4"/>
        <v>60919261</v>
      </c>
      <c r="H16" s="33">
        <f t="shared" si="0"/>
        <v>71.441662760813855</v>
      </c>
      <c r="I16" s="33">
        <f>SUM(I4:I15)</f>
        <v>206773.16484000004</v>
      </c>
      <c r="J16" s="33">
        <f>SUM(J4:J15)</f>
        <v>21591.375120000004</v>
      </c>
      <c r="K16" s="33">
        <f t="shared" si="1"/>
        <v>228364.53996000005</v>
      </c>
      <c r="L16" s="33">
        <f>SUM(L4:L15)</f>
        <v>3916419.3415252194</v>
      </c>
      <c r="M16" s="33">
        <f>SUM(M4:M15)</f>
        <v>236825.80097566999</v>
      </c>
      <c r="N16" s="33">
        <f>SUM(N4:N15)</f>
        <v>20036.742103709999</v>
      </c>
      <c r="O16" s="33">
        <f t="shared" si="2"/>
        <v>4173281.8846045993</v>
      </c>
      <c r="P16" s="34">
        <f>SUM(P4:P15)</f>
        <v>6878241.8277899986</v>
      </c>
      <c r="Q16" s="34">
        <f t="shared" si="3"/>
        <v>60.673671980292795</v>
      </c>
    </row>
    <row r="17" spans="1:17" ht="20.100000000000001" customHeight="1" x14ac:dyDescent="0.3">
      <c r="A17" s="150" t="s">
        <v>35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8">
        <v>2021</v>
      </c>
      <c r="B20" s="158"/>
      <c r="C20" s="159" t="s">
        <v>38</v>
      </c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60" t="s">
        <v>1</v>
      </c>
      <c r="P20" s="160"/>
      <c r="Q20" s="161"/>
    </row>
    <row r="21" spans="1:17" ht="33" customHeight="1" x14ac:dyDescent="0.3">
      <c r="A21" s="162" t="s">
        <v>2</v>
      </c>
      <c r="B21" s="162" t="s">
        <v>3</v>
      </c>
      <c r="C21" s="162"/>
      <c r="D21" s="162"/>
      <c r="E21" s="163" t="s">
        <v>4</v>
      </c>
      <c r="F21" s="163" t="s">
        <v>5</v>
      </c>
      <c r="G21" s="163" t="s">
        <v>6</v>
      </c>
      <c r="H21" s="163" t="s">
        <v>7</v>
      </c>
      <c r="I21" s="162" t="s">
        <v>8</v>
      </c>
      <c r="J21" s="162"/>
      <c r="K21" s="162"/>
      <c r="L21" s="162" t="s">
        <v>9</v>
      </c>
      <c r="M21" s="162"/>
      <c r="N21" s="162"/>
      <c r="O21" s="162"/>
      <c r="P21" s="163" t="s">
        <v>10</v>
      </c>
      <c r="Q21" s="163" t="s">
        <v>11</v>
      </c>
    </row>
    <row r="22" spans="1:17" ht="150.75" customHeight="1" x14ac:dyDescent="0.3">
      <c r="A22" s="162"/>
      <c r="B22" s="36" t="s">
        <v>12</v>
      </c>
      <c r="C22" s="36" t="s">
        <v>13</v>
      </c>
      <c r="D22" s="36" t="s">
        <v>14</v>
      </c>
      <c r="E22" s="163"/>
      <c r="F22" s="163"/>
      <c r="G22" s="163"/>
      <c r="H22" s="163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4"/>
      <c r="Q22" s="164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0" t="s">
        <v>35</v>
      </c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52">
        <v>2021</v>
      </c>
      <c r="B39" s="152"/>
      <c r="C39" s="153" t="s">
        <v>39</v>
      </c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4" t="s">
        <v>1</v>
      </c>
      <c r="P39" s="154"/>
      <c r="Q39" s="154"/>
    </row>
    <row r="40" spans="1:17" ht="28.9" customHeight="1" x14ac:dyDescent="0.3">
      <c r="A40" s="155" t="s">
        <v>2</v>
      </c>
      <c r="B40" s="155" t="s">
        <v>3</v>
      </c>
      <c r="C40" s="155"/>
      <c r="D40" s="155"/>
      <c r="E40" s="156" t="s">
        <v>4</v>
      </c>
      <c r="F40" s="156" t="s">
        <v>5</v>
      </c>
      <c r="G40" s="156" t="s">
        <v>6</v>
      </c>
      <c r="H40" s="156" t="s">
        <v>7</v>
      </c>
      <c r="I40" s="155" t="s">
        <v>8</v>
      </c>
      <c r="J40" s="155"/>
      <c r="K40" s="155"/>
      <c r="L40" s="155" t="s">
        <v>9</v>
      </c>
      <c r="M40" s="155"/>
      <c r="N40" s="155"/>
      <c r="O40" s="155"/>
      <c r="P40" s="156" t="s">
        <v>10</v>
      </c>
      <c r="Q40" s="156" t="s">
        <v>11</v>
      </c>
    </row>
    <row r="41" spans="1:17" ht="178.5" customHeight="1" x14ac:dyDescent="0.3">
      <c r="A41" s="155"/>
      <c r="B41" s="67" t="s">
        <v>12</v>
      </c>
      <c r="C41" s="67" t="s">
        <v>13</v>
      </c>
      <c r="D41" s="67" t="s">
        <v>14</v>
      </c>
      <c r="E41" s="157"/>
      <c r="F41" s="157"/>
      <c r="G41" s="157"/>
      <c r="H41" s="157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7"/>
      <c r="Q41" s="157"/>
    </row>
    <row r="42" spans="1:17" ht="25.5" customHeight="1" x14ac:dyDescent="0.3">
      <c r="A42" s="69" t="s">
        <v>22</v>
      </c>
      <c r="B42" s="70">
        <v>108</v>
      </c>
      <c r="C42" s="71">
        <v>195.31</v>
      </c>
      <c r="D42" s="72">
        <v>128.77600000000001</v>
      </c>
      <c r="E42" s="70">
        <v>6763</v>
      </c>
      <c r="F42" s="71">
        <v>5260</v>
      </c>
      <c r="G42" s="71">
        <v>9846</v>
      </c>
      <c r="H42" s="73">
        <f t="shared" ref="H42:H54" si="10">IFERROR(F42/G42*100," ")</f>
        <v>53.422709729839525</v>
      </c>
      <c r="I42" s="74">
        <v>245.29931000000002</v>
      </c>
      <c r="J42" s="75"/>
      <c r="K42" s="73">
        <f>IF(AND(ISBLANK(I42),ISBLANK(J42))=TRUE,"",I42+J42)</f>
        <v>245.29931000000002</v>
      </c>
      <c r="L42" s="74">
        <v>244.66355999999999</v>
      </c>
      <c r="M42" s="75">
        <v>299.48821454</v>
      </c>
      <c r="N42" s="75"/>
      <c r="O42" s="73">
        <f>IF(AND(ISBLANK(L42),ISBLANK(M42),ISBLANK(N42))=TRUE,"",L42+M42+N42)</f>
        <v>544.15177454000002</v>
      </c>
      <c r="P42" s="74">
        <v>1790.0848239999998</v>
      </c>
      <c r="Q42" s="73">
        <f>IFERROR(O42/P42*100," ")</f>
        <v>30.398099980763821</v>
      </c>
    </row>
    <row r="43" spans="1:17" ht="25.5" customHeight="1" x14ac:dyDescent="0.3">
      <c r="A43" s="76" t="s">
        <v>23</v>
      </c>
      <c r="B43" s="77">
        <v>75</v>
      </c>
      <c r="C43" s="78">
        <v>143.08000000000001</v>
      </c>
      <c r="D43" s="79">
        <v>74.692000000000007</v>
      </c>
      <c r="E43" s="77">
        <v>7230</v>
      </c>
      <c r="F43" s="78">
        <v>5859</v>
      </c>
      <c r="G43" s="78">
        <v>7107</v>
      </c>
      <c r="H43" s="80">
        <f t="shared" si="10"/>
        <v>82.439848037146476</v>
      </c>
      <c r="I43" s="81">
        <v>196.77</v>
      </c>
      <c r="J43" s="82"/>
      <c r="K43" s="80">
        <f t="shared" ref="K43:K54" si="11">IF(AND(ISBLANK(I43),ISBLANK(J43))=TRUE,"",I43+J43)</f>
        <v>196.77</v>
      </c>
      <c r="L43" s="81">
        <v>613.65785000000005</v>
      </c>
      <c r="M43" s="82">
        <v>0.71908300000000003</v>
      </c>
      <c r="N43" s="82"/>
      <c r="O43" s="80">
        <f t="shared" ref="O43:O54" si="12">IF(AND(ISBLANK(L43),ISBLANK(M43),ISBLANK(N43))=TRUE,"",L43+M43+N43)</f>
        <v>614.37693300000001</v>
      </c>
      <c r="P43" s="81">
        <v>836.30202099999997</v>
      </c>
      <c r="Q43" s="80">
        <f t="shared" ref="Q43:Q54" si="13">IFERROR(O43/P43*100," ")</f>
        <v>73.463523652061099</v>
      </c>
    </row>
    <row r="44" spans="1:17" ht="25.5" customHeight="1" x14ac:dyDescent="0.3">
      <c r="A44" s="69" t="s">
        <v>24</v>
      </c>
      <c r="B44" s="83">
        <v>57</v>
      </c>
      <c r="C44" s="84">
        <v>143.09</v>
      </c>
      <c r="D44" s="85">
        <v>60.313000000000002</v>
      </c>
      <c r="E44" s="83">
        <v>1451</v>
      </c>
      <c r="F44" s="84">
        <v>1126</v>
      </c>
      <c r="G44" s="84">
        <v>2910</v>
      </c>
      <c r="H44" s="86">
        <f t="shared" si="10"/>
        <v>38.694158075601379</v>
      </c>
      <c r="I44" s="87">
        <v>312</v>
      </c>
      <c r="J44" s="88"/>
      <c r="K44" s="86">
        <f t="shared" si="11"/>
        <v>312</v>
      </c>
      <c r="L44" s="87">
        <v>520.22830999999996</v>
      </c>
      <c r="M44" s="88"/>
      <c r="N44" s="88"/>
      <c r="O44" s="86">
        <f t="shared" si="12"/>
        <v>520.22830999999996</v>
      </c>
      <c r="P44" s="87">
        <v>1229.7437460000001</v>
      </c>
      <c r="Q44" s="86">
        <f t="shared" si="13"/>
        <v>42.303797981665028</v>
      </c>
    </row>
    <row r="45" spans="1:17" ht="25.5" customHeight="1" x14ac:dyDescent="0.3">
      <c r="A45" s="76" t="s">
        <v>25</v>
      </c>
      <c r="B45" s="77">
        <v>87</v>
      </c>
      <c r="C45" s="89">
        <v>2.5590000000000002</v>
      </c>
      <c r="D45" s="79">
        <v>79.923000000000002</v>
      </c>
      <c r="E45" s="77">
        <v>2546</v>
      </c>
      <c r="F45" s="78">
        <v>1528</v>
      </c>
      <c r="G45" s="78">
        <v>4026</v>
      </c>
      <c r="H45" s="80">
        <f t="shared" si="10"/>
        <v>37.95330352707402</v>
      </c>
      <c r="I45" s="81">
        <v>357.02420000000001</v>
      </c>
      <c r="J45" s="82"/>
      <c r="K45" s="80">
        <f t="shared" si="11"/>
        <v>357.02420000000001</v>
      </c>
      <c r="L45" s="81">
        <v>599.67444</v>
      </c>
      <c r="M45" s="82">
        <v>4.1487242000000002</v>
      </c>
      <c r="N45" s="82"/>
      <c r="O45" s="80">
        <f t="shared" si="12"/>
        <v>603.82316419999995</v>
      </c>
      <c r="P45" s="81">
        <v>1630.085615</v>
      </c>
      <c r="Q45" s="80">
        <f t="shared" si="13"/>
        <v>37.042420265760093</v>
      </c>
    </row>
    <row r="46" spans="1:17" ht="25.5" customHeight="1" x14ac:dyDescent="0.3">
      <c r="A46" s="69" t="s">
        <v>26</v>
      </c>
      <c r="B46" s="83">
        <v>171</v>
      </c>
      <c r="C46" s="90">
        <v>344.41</v>
      </c>
      <c r="D46" s="85">
        <v>199.15899999999999</v>
      </c>
      <c r="E46" s="83">
        <v>699</v>
      </c>
      <c r="F46" s="84">
        <v>413</v>
      </c>
      <c r="G46" s="84">
        <v>1332</v>
      </c>
      <c r="H46" s="86">
        <f t="shared" si="10"/>
        <v>31.006006006006004</v>
      </c>
      <c r="I46" s="87">
        <v>918.56299999999999</v>
      </c>
      <c r="J46" s="88"/>
      <c r="K46" s="86">
        <f t="shared" si="11"/>
        <v>918.56299999999999</v>
      </c>
      <c r="L46" s="87">
        <v>26.066175999999999</v>
      </c>
      <c r="M46" s="88">
        <v>1177.7106650000001</v>
      </c>
      <c r="N46" s="88"/>
      <c r="O46" s="86">
        <f t="shared" si="12"/>
        <v>1203.7768410000001</v>
      </c>
      <c r="P46" s="87">
        <v>4358.8314579999997</v>
      </c>
      <c r="Q46" s="86">
        <f t="shared" si="13"/>
        <v>27.61696231201239</v>
      </c>
    </row>
    <row r="47" spans="1:17" ht="25.5" customHeight="1" x14ac:dyDescent="0.3">
      <c r="A47" s="76" t="s">
        <v>27</v>
      </c>
      <c r="B47" s="91">
        <v>72</v>
      </c>
      <c r="C47" s="92">
        <v>140.32</v>
      </c>
      <c r="D47" s="79">
        <v>80.257000000000005</v>
      </c>
      <c r="E47" s="91">
        <v>814</v>
      </c>
      <c r="F47" s="92">
        <v>763</v>
      </c>
      <c r="G47" s="92">
        <v>1769</v>
      </c>
      <c r="H47" s="80">
        <f t="shared" si="10"/>
        <v>43.131712832108541</v>
      </c>
      <c r="I47" s="93">
        <v>533.17599999999993</v>
      </c>
      <c r="J47" s="94">
        <v>47</v>
      </c>
      <c r="K47" s="80">
        <f t="shared" si="11"/>
        <v>580.17599999999993</v>
      </c>
      <c r="L47" s="93">
        <v>32.55885</v>
      </c>
      <c r="M47" s="94">
        <v>641.64895999999999</v>
      </c>
      <c r="N47" s="94">
        <v>52.08</v>
      </c>
      <c r="O47" s="80">
        <f t="shared" si="12"/>
        <v>726.28781000000004</v>
      </c>
      <c r="P47" s="93">
        <v>1694.1615839999999</v>
      </c>
      <c r="Q47" s="80">
        <f t="shared" si="13"/>
        <v>42.870043616807692</v>
      </c>
    </row>
    <row r="48" spans="1:17" s="102" customFormat="1" ht="25.5" customHeight="1" x14ac:dyDescent="0.3">
      <c r="A48" s="95" t="s">
        <v>28</v>
      </c>
      <c r="B48" s="96">
        <v>91</v>
      </c>
      <c r="C48" s="97">
        <v>169.31</v>
      </c>
      <c r="D48" s="98">
        <v>89.736999999999995</v>
      </c>
      <c r="E48" s="96">
        <v>2607</v>
      </c>
      <c r="F48" s="97">
        <v>1766</v>
      </c>
      <c r="G48" s="97">
        <v>5056</v>
      </c>
      <c r="H48" s="99">
        <f t="shared" si="10"/>
        <v>34.928797468354425</v>
      </c>
      <c r="I48" s="100">
        <v>398.404</v>
      </c>
      <c r="J48" s="101">
        <v>39.744</v>
      </c>
      <c r="K48" s="99">
        <f t="shared" si="11"/>
        <v>438.14800000000002</v>
      </c>
      <c r="L48" s="100">
        <v>124.36488</v>
      </c>
      <c r="M48" s="101">
        <v>552.20343800000001</v>
      </c>
      <c r="N48" s="101">
        <v>61</v>
      </c>
      <c r="O48" s="99">
        <f t="shared" si="12"/>
        <v>737.56831799999998</v>
      </c>
      <c r="P48" s="100">
        <v>1908.9660719999999</v>
      </c>
      <c r="Q48" s="99">
        <f t="shared" si="13"/>
        <v>38.637057453161482</v>
      </c>
    </row>
    <row r="49" spans="1:17" ht="25.5" customHeight="1" x14ac:dyDescent="0.3">
      <c r="A49" s="76" t="s">
        <v>29</v>
      </c>
      <c r="B49" s="91">
        <v>58</v>
      </c>
      <c r="C49" s="92">
        <v>111.17</v>
      </c>
      <c r="D49" s="103">
        <v>64.168000000000006</v>
      </c>
      <c r="E49" s="91">
        <v>1572</v>
      </c>
      <c r="F49" s="92">
        <v>1332</v>
      </c>
      <c r="G49" s="92">
        <v>1885</v>
      </c>
      <c r="H49" s="80">
        <f t="shared" si="10"/>
        <v>70.66312997347481</v>
      </c>
      <c r="I49" s="93">
        <v>343.83100000000002</v>
      </c>
      <c r="J49" s="94">
        <v>33.027000000000001</v>
      </c>
      <c r="K49" s="80">
        <f t="shared" si="11"/>
        <v>376.858</v>
      </c>
      <c r="L49" s="93">
        <v>45.988289999999999</v>
      </c>
      <c r="M49" s="94">
        <v>489.36715800000002</v>
      </c>
      <c r="N49" s="94">
        <v>49</v>
      </c>
      <c r="O49" s="80">
        <f t="shared" si="12"/>
        <v>584.35544800000002</v>
      </c>
      <c r="P49" s="93">
        <v>253.86904500000003</v>
      </c>
      <c r="Q49" s="80">
        <f t="shared" si="13"/>
        <v>230.17987403702566</v>
      </c>
    </row>
    <row r="50" spans="1:17" ht="25.5" customHeight="1" x14ac:dyDescent="0.3">
      <c r="A50" s="69" t="s">
        <v>30</v>
      </c>
      <c r="B50" s="104">
        <v>79</v>
      </c>
      <c r="C50" s="105">
        <v>195.4</v>
      </c>
      <c r="D50" s="106">
        <v>96.253999999999991</v>
      </c>
      <c r="E50" s="104">
        <v>2069</v>
      </c>
      <c r="F50" s="105">
        <v>2005</v>
      </c>
      <c r="G50" s="105">
        <v>2804</v>
      </c>
      <c r="H50" s="86">
        <f t="shared" si="10"/>
        <v>71.50499286733239</v>
      </c>
      <c r="I50" s="107">
        <v>446.22699999999998</v>
      </c>
      <c r="J50" s="108">
        <v>25.28</v>
      </c>
      <c r="K50" s="86">
        <f t="shared" si="11"/>
        <v>471.50699999999995</v>
      </c>
      <c r="L50" s="107">
        <v>27</v>
      </c>
      <c r="M50" s="108">
        <v>615.34782600000005</v>
      </c>
      <c r="N50" s="108">
        <v>36.200000000000003</v>
      </c>
      <c r="O50" s="86">
        <f t="shared" si="12"/>
        <v>678.5478260000001</v>
      </c>
      <c r="P50" s="107">
        <v>2258.2803680000002</v>
      </c>
      <c r="Q50" s="86">
        <f t="shared" si="13"/>
        <v>30.047102902503735</v>
      </c>
    </row>
    <row r="51" spans="1:17" ht="25.5" customHeight="1" x14ac:dyDescent="0.3">
      <c r="A51" s="76" t="s">
        <v>31</v>
      </c>
      <c r="B51" s="91">
        <v>148</v>
      </c>
      <c r="C51" s="92">
        <v>300.29000000000002</v>
      </c>
      <c r="D51" s="103">
        <v>148.524</v>
      </c>
      <c r="E51" s="91">
        <v>3291</v>
      </c>
      <c r="F51" s="92">
        <v>2943</v>
      </c>
      <c r="G51" s="92">
        <v>4449</v>
      </c>
      <c r="H51" s="80">
        <f t="shared" si="10"/>
        <v>66.149696561024953</v>
      </c>
      <c r="I51" s="93">
        <v>616.08899999999994</v>
      </c>
      <c r="J51" s="94">
        <v>11.077999999999999</v>
      </c>
      <c r="K51" s="80">
        <f t="shared" si="11"/>
        <v>627.16699999999992</v>
      </c>
      <c r="L51" s="93">
        <v>96.035579999999996</v>
      </c>
      <c r="M51" s="94">
        <v>752.701415</v>
      </c>
      <c r="N51" s="94">
        <v>17.03388</v>
      </c>
      <c r="O51" s="80">
        <f t="shared" si="12"/>
        <v>865.77087499999993</v>
      </c>
      <c r="P51" s="93">
        <v>3614.3949990000001</v>
      </c>
      <c r="Q51" s="80">
        <f t="shared" si="13"/>
        <v>23.953410605081459</v>
      </c>
    </row>
    <row r="52" spans="1:17" ht="25.5" customHeight="1" x14ac:dyDescent="0.3">
      <c r="A52" s="69" t="s">
        <v>32</v>
      </c>
      <c r="B52" s="104">
        <v>23</v>
      </c>
      <c r="C52" s="105">
        <v>91.45</v>
      </c>
      <c r="D52" s="106">
        <v>25.213000000000001</v>
      </c>
      <c r="E52" s="104">
        <v>2180</v>
      </c>
      <c r="F52" s="105">
        <v>2329</v>
      </c>
      <c r="G52" s="105">
        <v>2643</v>
      </c>
      <c r="H52" s="86">
        <f t="shared" si="10"/>
        <v>88.119561104805143</v>
      </c>
      <c r="I52" s="107">
        <v>39.110999999999997</v>
      </c>
      <c r="J52" s="108"/>
      <c r="K52" s="86">
        <f t="shared" si="11"/>
        <v>39.110999999999997</v>
      </c>
      <c r="L52" s="107">
        <v>56.595239999999997</v>
      </c>
      <c r="M52" s="108">
        <v>48.139671</v>
      </c>
      <c r="N52" s="108">
        <v>0</v>
      </c>
      <c r="O52" s="86">
        <f t="shared" si="12"/>
        <v>104.734911</v>
      </c>
      <c r="P52" s="107">
        <v>1059.61392</v>
      </c>
      <c r="Q52" s="86">
        <f t="shared" si="13"/>
        <v>9.8842520868355521</v>
      </c>
    </row>
    <row r="53" spans="1:17" ht="25.5" customHeight="1" x14ac:dyDescent="0.3">
      <c r="A53" s="76" t="s">
        <v>33</v>
      </c>
      <c r="B53" s="109">
        <v>35</v>
      </c>
      <c r="C53" s="110">
        <v>77.430000000000007</v>
      </c>
      <c r="D53" s="111">
        <v>42.534999999999997</v>
      </c>
      <c r="E53" s="109">
        <v>2918</v>
      </c>
      <c r="F53" s="110">
        <v>2865</v>
      </c>
      <c r="G53" s="110">
        <v>3056</v>
      </c>
      <c r="H53" s="112">
        <f t="shared" si="10"/>
        <v>93.75</v>
      </c>
      <c r="I53" s="113">
        <v>60</v>
      </c>
      <c r="J53" s="114">
        <v>2.6703270000000003</v>
      </c>
      <c r="K53" s="112">
        <f t="shared" si="11"/>
        <v>62.670327</v>
      </c>
      <c r="L53" s="113">
        <v>65.525490000000005</v>
      </c>
      <c r="M53" s="114">
        <v>86</v>
      </c>
      <c r="N53" s="114">
        <v>3</v>
      </c>
      <c r="O53" s="112">
        <f t="shared" si="12"/>
        <v>154.52548999999999</v>
      </c>
      <c r="P53" s="113">
        <v>972.93440099999998</v>
      </c>
      <c r="Q53" s="112">
        <f t="shared" si="13"/>
        <v>15.882416105461564</v>
      </c>
    </row>
    <row r="54" spans="1:17" ht="25.5" customHeight="1" x14ac:dyDescent="0.3">
      <c r="A54" s="115" t="s">
        <v>34</v>
      </c>
      <c r="B54" s="116">
        <f t="shared" ref="B54:G54" si="14">SUM(B42:B53)</f>
        <v>1004</v>
      </c>
      <c r="C54" s="116">
        <f t="shared" si="14"/>
        <v>1913.8190000000002</v>
      </c>
      <c r="D54" s="116">
        <f t="shared" si="14"/>
        <v>1089.5510000000002</v>
      </c>
      <c r="E54" s="116">
        <f t="shared" si="14"/>
        <v>34140</v>
      </c>
      <c r="F54" s="116">
        <f t="shared" si="14"/>
        <v>28189</v>
      </c>
      <c r="G54" s="116">
        <f t="shared" si="14"/>
        <v>46883</v>
      </c>
      <c r="H54" s="117">
        <f t="shared" si="10"/>
        <v>60.126271782949047</v>
      </c>
      <c r="I54" s="117">
        <f>SUM(I42:I53)</f>
        <v>4466.4945099999995</v>
      </c>
      <c r="J54" s="117">
        <f>SUM(J42:J53)</f>
        <v>158.79932700000001</v>
      </c>
      <c r="K54" s="117">
        <f t="shared" si="11"/>
        <v>4625.2938369999993</v>
      </c>
      <c r="L54" s="117">
        <f>SUM(L42:L53)</f>
        <v>2452.3586660000001</v>
      </c>
      <c r="M54" s="117">
        <f>SUM(M42:M53)</f>
        <v>4667.4751547400001</v>
      </c>
      <c r="N54" s="117">
        <f>SUM(N42:N53)</f>
        <v>218.31387999999998</v>
      </c>
      <c r="O54" s="117">
        <f t="shared" si="12"/>
        <v>7338.1477007399999</v>
      </c>
      <c r="P54" s="118">
        <f>SUM(P42:P53)</f>
        <v>21607.268052999996</v>
      </c>
      <c r="Q54" s="117">
        <f t="shared" si="13"/>
        <v>33.961478530003966</v>
      </c>
    </row>
    <row r="55" spans="1:17" ht="22.5" customHeight="1" x14ac:dyDescent="0.3">
      <c r="A55" s="150" t="s">
        <v>35</v>
      </c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44">
        <v>2021</v>
      </c>
      <c r="B58" s="144"/>
      <c r="C58" s="145" t="s">
        <v>40</v>
      </c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6" t="s">
        <v>1</v>
      </c>
      <c r="P58" s="146"/>
      <c r="Q58" s="146"/>
    </row>
    <row r="59" spans="1:17" ht="28.9" customHeight="1" x14ac:dyDescent="0.3">
      <c r="A59" s="147" t="s">
        <v>2</v>
      </c>
      <c r="B59" s="147" t="s">
        <v>3</v>
      </c>
      <c r="C59" s="147"/>
      <c r="D59" s="147"/>
      <c r="E59" s="148" t="s">
        <v>4</v>
      </c>
      <c r="F59" s="148" t="s">
        <v>5</v>
      </c>
      <c r="G59" s="148" t="s">
        <v>6</v>
      </c>
      <c r="H59" s="148" t="s">
        <v>7</v>
      </c>
      <c r="I59" s="147" t="s">
        <v>8</v>
      </c>
      <c r="J59" s="147"/>
      <c r="K59" s="147"/>
      <c r="L59" s="147" t="s">
        <v>9</v>
      </c>
      <c r="M59" s="147"/>
      <c r="N59" s="147"/>
      <c r="O59" s="147"/>
      <c r="P59" s="148" t="s">
        <v>10</v>
      </c>
      <c r="Q59" s="148" t="s">
        <v>11</v>
      </c>
    </row>
    <row r="60" spans="1:17" ht="164.25" customHeight="1" x14ac:dyDescent="0.3">
      <c r="A60" s="147"/>
      <c r="B60" s="119" t="s">
        <v>12</v>
      </c>
      <c r="C60" s="119" t="s">
        <v>13</v>
      </c>
      <c r="D60" s="119" t="s">
        <v>14</v>
      </c>
      <c r="E60" s="149"/>
      <c r="F60" s="149"/>
      <c r="G60" s="149"/>
      <c r="H60" s="149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9"/>
      <c r="Q60" s="149"/>
    </row>
    <row r="61" spans="1:17" ht="24.75" customHeight="1" x14ac:dyDescent="0.3">
      <c r="A61" s="121" t="s">
        <v>22</v>
      </c>
      <c r="B61" s="122">
        <v>1605</v>
      </c>
      <c r="C61" s="123">
        <v>5941.95</v>
      </c>
      <c r="D61" s="124">
        <v>4255.6989999999996</v>
      </c>
      <c r="E61" s="122">
        <v>180217</v>
      </c>
      <c r="F61" s="123">
        <v>447209</v>
      </c>
      <c r="G61" s="123">
        <v>614904</v>
      </c>
      <c r="H61" s="125">
        <f t="shared" ref="H61:H73" si="15">IFERROR(F61/G61*100," ")</f>
        <v>72.728263273616705</v>
      </c>
      <c r="I61" s="126">
        <v>3146.8945899999999</v>
      </c>
      <c r="J61" s="127"/>
      <c r="K61" s="127">
        <f>IF(AND(ISBLANK(I61),ISBLANK(J61))=TRUE,"",I61+J61)</f>
        <v>3146.8945899999999</v>
      </c>
      <c r="L61" s="126">
        <v>38480.537790000002</v>
      </c>
      <c r="M61" s="127">
        <v>6164.5518617899988</v>
      </c>
      <c r="N61" s="127"/>
      <c r="O61" s="128">
        <f>IF(AND(ISBLANK(L61),ISBLANK(M61),ISBLANK(N61))=TRUE,"",L61+M61+N61)</f>
        <v>44645.089651790004</v>
      </c>
      <c r="P61" s="127">
        <v>76569.856910000002</v>
      </c>
      <c r="Q61" s="125">
        <f>IFERROR(O61/P61*100," ")</f>
        <v>58.306351158871465</v>
      </c>
    </row>
    <row r="62" spans="1:17" ht="24.75" customHeight="1" x14ac:dyDescent="0.3">
      <c r="A62" s="76" t="s">
        <v>23</v>
      </c>
      <c r="B62" s="91">
        <v>1552</v>
      </c>
      <c r="C62" s="92">
        <v>5610.55</v>
      </c>
      <c r="D62" s="103">
        <v>3636.1379999999999</v>
      </c>
      <c r="E62" s="91">
        <v>183348</v>
      </c>
      <c r="F62" s="92">
        <v>438673</v>
      </c>
      <c r="G62" s="92">
        <v>585598</v>
      </c>
      <c r="H62" s="129">
        <f t="shared" si="15"/>
        <v>74.910262671662124</v>
      </c>
      <c r="I62" s="93">
        <v>2894.1583400000009</v>
      </c>
      <c r="J62" s="94"/>
      <c r="K62" s="94">
        <f t="shared" ref="K62:K73" si="16">IF(AND(ISBLANK(I62),ISBLANK(J62))=TRUE,"",I62+J62)</f>
        <v>2894.1583400000009</v>
      </c>
      <c r="L62" s="93">
        <v>41783.137519999997</v>
      </c>
      <c r="M62" s="94">
        <v>2417.2866405200002</v>
      </c>
      <c r="N62" s="94"/>
      <c r="O62" s="80">
        <f t="shared" ref="O62:O73" si="17">IF(AND(ISBLANK(L62),ISBLANK(M62),ISBLANK(N62))=TRUE,"",L62+M62+N62)</f>
        <v>44200.424160519993</v>
      </c>
      <c r="P62" s="94">
        <v>63539.164984999996</v>
      </c>
      <c r="Q62" s="129">
        <f t="shared" ref="Q62:Q73" si="18">IFERROR(O62/P62*100," ")</f>
        <v>69.564062056771775</v>
      </c>
    </row>
    <row r="63" spans="1:17" ht="24.75" customHeight="1" x14ac:dyDescent="0.3">
      <c r="A63" s="121" t="s">
        <v>24</v>
      </c>
      <c r="B63" s="130">
        <v>1846</v>
      </c>
      <c r="C63" s="131">
        <v>6604.1</v>
      </c>
      <c r="D63" s="132">
        <v>4250.8540000000003</v>
      </c>
      <c r="E63" s="130">
        <v>211386</v>
      </c>
      <c r="F63" s="131">
        <v>502685</v>
      </c>
      <c r="G63" s="131">
        <v>701506</v>
      </c>
      <c r="H63" s="133">
        <f t="shared" si="15"/>
        <v>71.657975840548758</v>
      </c>
      <c r="I63" s="134">
        <v>3692.0319299999996</v>
      </c>
      <c r="J63" s="135"/>
      <c r="K63" s="135">
        <f t="shared" si="16"/>
        <v>3692.0319299999996</v>
      </c>
      <c r="L63" s="134">
        <v>47899.112569999998</v>
      </c>
      <c r="M63" s="135">
        <v>3623.4980792199999</v>
      </c>
      <c r="N63" s="135"/>
      <c r="O63" s="136">
        <f t="shared" si="17"/>
        <v>51522.610649219998</v>
      </c>
      <c r="P63" s="135">
        <v>86091.286732000008</v>
      </c>
      <c r="Q63" s="133">
        <f t="shared" si="18"/>
        <v>59.846486915230543</v>
      </c>
    </row>
    <row r="64" spans="1:17" ht="24.75" customHeight="1" x14ac:dyDescent="0.3">
      <c r="A64" s="76" t="s">
        <v>25</v>
      </c>
      <c r="B64" s="91">
        <v>1621</v>
      </c>
      <c r="C64" s="92">
        <v>5996.05</v>
      </c>
      <c r="D64" s="103">
        <v>3803.3900000000003</v>
      </c>
      <c r="E64" s="91">
        <v>175492</v>
      </c>
      <c r="F64" s="92">
        <v>427945</v>
      </c>
      <c r="G64" s="92">
        <v>627038</v>
      </c>
      <c r="H64" s="129">
        <f t="shared" si="15"/>
        <v>68.248654786472272</v>
      </c>
      <c r="I64" s="93">
        <v>3533.7210200000004</v>
      </c>
      <c r="J64" s="94"/>
      <c r="K64" s="94">
        <f t="shared" si="16"/>
        <v>3533.7210200000004</v>
      </c>
      <c r="L64" s="93">
        <v>41811.995009999999</v>
      </c>
      <c r="M64" s="94">
        <v>3246.8863105700002</v>
      </c>
      <c r="N64" s="94"/>
      <c r="O64" s="80">
        <f t="shared" si="17"/>
        <v>45058.881320569999</v>
      </c>
      <c r="P64" s="94">
        <v>77281.608832000013</v>
      </c>
      <c r="Q64" s="129">
        <f t="shared" si="18"/>
        <v>58.30479204764233</v>
      </c>
    </row>
    <row r="65" spans="1:17" ht="24.75" customHeight="1" x14ac:dyDescent="0.3">
      <c r="A65" s="121" t="s">
        <v>26</v>
      </c>
      <c r="B65" s="130">
        <v>962</v>
      </c>
      <c r="C65" s="131">
        <v>3499.46</v>
      </c>
      <c r="D65" s="132">
        <v>2315.79</v>
      </c>
      <c r="E65" s="130">
        <v>60280</v>
      </c>
      <c r="F65" s="131">
        <v>161393</v>
      </c>
      <c r="G65" s="131">
        <v>287464</v>
      </c>
      <c r="H65" s="133">
        <f t="shared" si="15"/>
        <v>56.14372582305959</v>
      </c>
      <c r="I65" s="134">
        <v>2923.067</v>
      </c>
      <c r="J65" s="135"/>
      <c r="K65" s="135">
        <f t="shared" si="16"/>
        <v>2923.067</v>
      </c>
      <c r="L65" s="134">
        <v>15912.338787000001</v>
      </c>
      <c r="M65" s="135">
        <v>6328.9000749999996</v>
      </c>
      <c r="N65" s="135">
        <v>0</v>
      </c>
      <c r="O65" s="136">
        <f t="shared" si="17"/>
        <v>22241.238861999998</v>
      </c>
      <c r="P65" s="135">
        <v>47224.738345999998</v>
      </c>
      <c r="Q65" s="133">
        <f t="shared" si="18"/>
        <v>47.096584631228268</v>
      </c>
    </row>
    <row r="66" spans="1:17" ht="24.75" customHeight="1" x14ac:dyDescent="0.3">
      <c r="A66" s="76" t="s">
        <v>27</v>
      </c>
      <c r="B66" s="91">
        <v>696</v>
      </c>
      <c r="C66" s="92">
        <v>2673.31</v>
      </c>
      <c r="D66" s="103">
        <v>1821.3040000000001</v>
      </c>
      <c r="E66" s="91">
        <v>59677</v>
      </c>
      <c r="F66" s="92">
        <v>170706</v>
      </c>
      <c r="G66" s="92">
        <v>251049</v>
      </c>
      <c r="H66" s="129">
        <f t="shared" si="15"/>
        <v>67.997084234551821</v>
      </c>
      <c r="I66" s="93">
        <v>2572.8110000000001</v>
      </c>
      <c r="J66" s="94"/>
      <c r="K66" s="94">
        <f t="shared" si="16"/>
        <v>2572.8110000000001</v>
      </c>
      <c r="L66" s="93">
        <v>15256.979009999999</v>
      </c>
      <c r="M66" s="94">
        <v>5535.1025330000002</v>
      </c>
      <c r="N66" s="94"/>
      <c r="O66" s="80">
        <f t="shared" si="17"/>
        <v>20792.081543</v>
      </c>
      <c r="P66" s="94">
        <v>37698.442796000003</v>
      </c>
      <c r="Q66" s="129">
        <f t="shared" si="18"/>
        <v>55.153688059513549</v>
      </c>
    </row>
    <row r="67" spans="1:17" ht="24.75" customHeight="1" x14ac:dyDescent="0.3">
      <c r="A67" s="121" t="s">
        <v>28</v>
      </c>
      <c r="B67" s="130">
        <v>947</v>
      </c>
      <c r="C67" s="131">
        <v>3455.46</v>
      </c>
      <c r="D67" s="132">
        <v>2319.752</v>
      </c>
      <c r="E67" s="130">
        <v>102313</v>
      </c>
      <c r="F67" s="131">
        <v>275924</v>
      </c>
      <c r="G67" s="131">
        <v>335407</v>
      </c>
      <c r="H67" s="133">
        <f t="shared" si="15"/>
        <v>82.265426780001604</v>
      </c>
      <c r="I67" s="134">
        <v>3006.4549999999999</v>
      </c>
      <c r="J67" s="135"/>
      <c r="K67" s="135">
        <f t="shared" si="16"/>
        <v>3006.4549999999999</v>
      </c>
      <c r="L67" s="134">
        <v>24311.186730000001</v>
      </c>
      <c r="M67" s="135">
        <v>6064.1617480000004</v>
      </c>
      <c r="N67" s="135"/>
      <c r="O67" s="136">
        <f t="shared" si="17"/>
        <v>30375.348478</v>
      </c>
      <c r="P67" s="135">
        <v>49518.402471000001</v>
      </c>
      <c r="Q67" s="133">
        <f t="shared" si="18"/>
        <v>61.341535595355779</v>
      </c>
    </row>
    <row r="68" spans="1:17" ht="24.75" customHeight="1" x14ac:dyDescent="0.3">
      <c r="A68" s="76" t="s">
        <v>29</v>
      </c>
      <c r="B68" s="91">
        <v>1687</v>
      </c>
      <c r="C68" s="92">
        <v>6085.53</v>
      </c>
      <c r="D68" s="103">
        <v>4010.6710000000003</v>
      </c>
      <c r="E68" s="91">
        <v>162291</v>
      </c>
      <c r="F68" s="92">
        <v>399596</v>
      </c>
      <c r="G68" s="92">
        <v>668510</v>
      </c>
      <c r="H68" s="129">
        <f t="shared" si="15"/>
        <v>59.774124545631324</v>
      </c>
      <c r="I68" s="93">
        <v>3710.6289999999999</v>
      </c>
      <c r="J68" s="94"/>
      <c r="K68" s="94">
        <f t="shared" si="16"/>
        <v>3710.6289999999999</v>
      </c>
      <c r="L68" s="93">
        <v>35374.999049999999</v>
      </c>
      <c r="M68" s="94">
        <v>7410.9978250000004</v>
      </c>
      <c r="N68" s="94">
        <v>0</v>
      </c>
      <c r="O68" s="80">
        <f t="shared" si="17"/>
        <v>42785.996874999997</v>
      </c>
      <c r="P68" s="94">
        <v>74830.478296000001</v>
      </c>
      <c r="Q68" s="129">
        <f t="shared" si="18"/>
        <v>57.177232926075106</v>
      </c>
    </row>
    <row r="69" spans="1:17" ht="24.75" customHeight="1" x14ac:dyDescent="0.3">
      <c r="A69" s="121" t="s">
        <v>30</v>
      </c>
      <c r="B69" s="130">
        <v>2257</v>
      </c>
      <c r="C69" s="131">
        <v>7983.12</v>
      </c>
      <c r="D69" s="132">
        <v>5266.9719999999998</v>
      </c>
      <c r="E69" s="130">
        <v>239615</v>
      </c>
      <c r="F69" s="131">
        <v>579846</v>
      </c>
      <c r="G69" s="131">
        <v>838177</v>
      </c>
      <c r="H69" s="133">
        <f t="shared" si="15"/>
        <v>69.179421530297304</v>
      </c>
      <c r="I69" s="134">
        <v>5209.1139999999996</v>
      </c>
      <c r="J69" s="135"/>
      <c r="K69" s="135">
        <f t="shared" si="16"/>
        <v>5209.1139999999996</v>
      </c>
      <c r="L69" s="134">
        <v>51450</v>
      </c>
      <c r="M69" s="135">
        <v>10197</v>
      </c>
      <c r="N69" s="135">
        <v>0</v>
      </c>
      <c r="O69" s="136">
        <f t="shared" si="17"/>
        <v>61647</v>
      </c>
      <c r="P69" s="135">
        <v>114218.61273399999</v>
      </c>
      <c r="Q69" s="133">
        <f t="shared" si="18"/>
        <v>53.972814521541856</v>
      </c>
    </row>
    <row r="70" spans="1:17" ht="24.75" customHeight="1" x14ac:dyDescent="0.3">
      <c r="A70" s="76" t="s">
        <v>31</v>
      </c>
      <c r="B70" s="91">
        <v>2574</v>
      </c>
      <c r="C70" s="92">
        <v>9201.36</v>
      </c>
      <c r="D70" s="103">
        <v>6081.3459999999995</v>
      </c>
      <c r="E70" s="91">
        <v>307125</v>
      </c>
      <c r="F70" s="92">
        <v>753653</v>
      </c>
      <c r="G70" s="92">
        <v>972139</v>
      </c>
      <c r="H70" s="129">
        <f t="shared" si="15"/>
        <v>77.525230445440414</v>
      </c>
      <c r="I70" s="93">
        <v>5388.9580000000005</v>
      </c>
      <c r="J70" s="94"/>
      <c r="K70" s="94">
        <f t="shared" si="16"/>
        <v>5388.9580000000005</v>
      </c>
      <c r="L70" s="93">
        <v>67076.040689999994</v>
      </c>
      <c r="M70" s="94">
        <v>10295.581795</v>
      </c>
      <c r="N70" s="94"/>
      <c r="O70" s="80">
        <f t="shared" si="17"/>
        <v>77371.622485</v>
      </c>
      <c r="P70" s="94">
        <v>129976.63062899999</v>
      </c>
      <c r="Q70" s="129">
        <f t="shared" si="18"/>
        <v>59.527333575715168</v>
      </c>
    </row>
    <row r="71" spans="1:17" ht="24.75" customHeight="1" x14ac:dyDescent="0.3">
      <c r="A71" s="121" t="s">
        <v>32</v>
      </c>
      <c r="B71" s="130">
        <v>2442</v>
      </c>
      <c r="C71" s="131">
        <v>8905.07</v>
      </c>
      <c r="D71" s="132">
        <v>5840.87</v>
      </c>
      <c r="E71" s="130">
        <v>346878</v>
      </c>
      <c r="F71" s="131">
        <v>848890</v>
      </c>
      <c r="G71" s="131">
        <v>1043171</v>
      </c>
      <c r="H71" s="133">
        <f t="shared" si="15"/>
        <v>81.375920151154517</v>
      </c>
      <c r="I71" s="134">
        <v>3430.1180000000008</v>
      </c>
      <c r="J71" s="135"/>
      <c r="K71" s="135">
        <f t="shared" si="16"/>
        <v>3430.1180000000008</v>
      </c>
      <c r="L71" s="134">
        <v>75861.743000000002</v>
      </c>
      <c r="M71" s="135">
        <v>6388.53467</v>
      </c>
      <c r="N71" s="135">
        <v>0</v>
      </c>
      <c r="O71" s="136">
        <f t="shared" si="17"/>
        <v>82250.277669999996</v>
      </c>
      <c r="P71" s="135">
        <v>207709.55100000001</v>
      </c>
      <c r="Q71" s="133">
        <f t="shared" si="18"/>
        <v>39.59869792891709</v>
      </c>
    </row>
    <row r="72" spans="1:17" ht="24.75" customHeight="1" x14ac:dyDescent="0.3">
      <c r="A72" s="76" t="s">
        <v>33</v>
      </c>
      <c r="B72" s="109">
        <v>2907</v>
      </c>
      <c r="C72" s="110">
        <v>10425.290000000001</v>
      </c>
      <c r="D72" s="111">
        <v>6860.4270000000006</v>
      </c>
      <c r="E72" s="109">
        <v>434628</v>
      </c>
      <c r="F72" s="110">
        <v>1042382</v>
      </c>
      <c r="G72" s="110">
        <v>1288384</v>
      </c>
      <c r="H72" s="112">
        <f t="shared" si="15"/>
        <v>80.906158412398781</v>
      </c>
      <c r="I72" s="113">
        <v>3768.6209999999996</v>
      </c>
      <c r="J72" s="114"/>
      <c r="K72" s="114">
        <f t="shared" si="16"/>
        <v>3768.6209999999996</v>
      </c>
      <c r="L72" s="113">
        <v>93207.087270000004</v>
      </c>
      <c r="M72" s="114">
        <v>7357.4444380000004</v>
      </c>
      <c r="N72" s="114"/>
      <c r="O72" s="112">
        <f t="shared" si="17"/>
        <v>100564.53170800001</v>
      </c>
      <c r="P72" s="114">
        <v>154114.88656300001</v>
      </c>
      <c r="Q72" s="112">
        <f t="shared" si="18"/>
        <v>65.252964168967949</v>
      </c>
    </row>
    <row r="73" spans="1:17" ht="24.75" customHeight="1" x14ac:dyDescent="0.3">
      <c r="A73" s="137" t="s">
        <v>34</v>
      </c>
      <c r="B73" s="138">
        <f t="shared" ref="B73:G73" si="19">SUM(B61:B72)</f>
        <v>21096</v>
      </c>
      <c r="C73" s="138">
        <f t="shared" si="19"/>
        <v>76381.25</v>
      </c>
      <c r="D73" s="138">
        <f t="shared" si="19"/>
        <v>50463.213000000003</v>
      </c>
      <c r="E73" s="138">
        <f t="shared" si="19"/>
        <v>2463250</v>
      </c>
      <c r="F73" s="138">
        <f t="shared" si="19"/>
        <v>6048902</v>
      </c>
      <c r="G73" s="138">
        <f t="shared" si="19"/>
        <v>8213347</v>
      </c>
      <c r="H73" s="139">
        <f t="shared" si="15"/>
        <v>73.647223233110694</v>
      </c>
      <c r="I73" s="140">
        <f>SUM(I61:I72)</f>
        <v>43276.578880000008</v>
      </c>
      <c r="J73" s="140">
        <f>SUM(J61:J72)</f>
        <v>0</v>
      </c>
      <c r="K73" s="140">
        <f t="shared" si="16"/>
        <v>43276.578880000008</v>
      </c>
      <c r="L73" s="140">
        <f>SUM(L61:L72)</f>
        <v>548425.157427</v>
      </c>
      <c r="M73" s="140">
        <f>SUM(M61:M72)</f>
        <v>75029.945976100003</v>
      </c>
      <c r="N73" s="140">
        <f>SUM(N61:N72)</f>
        <v>0</v>
      </c>
      <c r="O73" s="140">
        <f t="shared" si="17"/>
        <v>623455.10340310005</v>
      </c>
      <c r="P73" s="140">
        <f>SUM(P61:P72)</f>
        <v>1118773.6602939998</v>
      </c>
      <c r="Q73" s="139">
        <f t="shared" si="18"/>
        <v>55.726651916283387</v>
      </c>
    </row>
    <row r="74" spans="1:17" x14ac:dyDescent="0.3">
      <c r="A74" s="150" t="s">
        <v>35</v>
      </c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2022-03-09T09:26:37Z</dcterms:created>
  <dcterms:modified xsi:type="dcterms:W3CDTF">2022-05-27T05:27:32Z</dcterms:modified>
</cp:coreProperties>
</file>