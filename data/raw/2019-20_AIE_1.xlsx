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24000" windowHeight="9435"/>
  </bookViews>
  <sheets>
    <sheet name="AIR INDIA EXPRESS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8" l="1"/>
  <c r="Q16" i="8"/>
  <c r="Q17" i="8"/>
  <c r="G18" i="8" l="1"/>
  <c r="C18" i="8"/>
  <c r="D18" i="8"/>
  <c r="E18" i="8"/>
  <c r="F18" i="8"/>
  <c r="B18" i="8"/>
  <c r="Q7" i="8" l="1"/>
  <c r="Q8" i="8"/>
  <c r="Q9" i="8"/>
  <c r="Q10" i="8"/>
  <c r="Q11" i="8"/>
  <c r="Q12" i="8"/>
  <c r="Q13" i="8"/>
  <c r="Q14" i="8"/>
  <c r="Q6" i="8"/>
  <c r="H7" i="8"/>
  <c r="H8" i="8"/>
  <c r="H9" i="8"/>
  <c r="H10" i="8"/>
  <c r="H11" i="8"/>
  <c r="H12" i="8"/>
  <c r="H13" i="8"/>
  <c r="H14" i="8"/>
  <c r="H15" i="8"/>
  <c r="H16" i="8"/>
  <c r="H17" i="8"/>
  <c r="H18" i="8"/>
  <c r="H6" i="8"/>
  <c r="P18" i="8" l="1"/>
  <c r="O18" i="8"/>
  <c r="N18" i="8"/>
  <c r="M18" i="8"/>
  <c r="L18" i="8"/>
  <c r="K18" i="8"/>
  <c r="J18" i="8"/>
  <c r="I18" i="8"/>
  <c r="Q18" i="8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<sst xmlns="http://schemas.openxmlformats.org/spreadsheetml/2006/main" count="26" uniqueCount="24">
  <si>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</si>
  <si>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</si>
  <si>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</si>
  <si>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</si>
  <si>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</si>
  <si>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</si>
  <si>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</si>
  <si>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</si>
  <si>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</si>
  <si>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</si>
  <si>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</si>
  <si>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</si>
  <si>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</si>
  <si>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</si>
  <si>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</si>
  <si>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</si>
  <si>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</si>
  <si>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</si>
  <si>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</si>
  <si>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(एयर इंडिया एक्सप्रेस) </t>
  </si>
  <si>
    <t>Table 1.01 ( AIR INDIA EXPRESS)</t>
  </si>
  <si>
    <t>SOURCE:-  ICAO ATR FORM 'A' FURNISHED BY AIR INDIA EXPRESS</t>
  </si>
  <si>
    <t>2019-20</t>
  </si>
  <si>
    <t>MONTHLY TRAFFIC AND OPERATING STATISTICS OF AIR INDIA EXPRESS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</si>
</sst>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4" zoomScale="112" zoomScaleNormal="112" workbookViewId="0">
      <selection activeCell="V10" sqref="V10"/>
    </sheetView>
  </sheetViews>
  <sheetFormatPr defaultRowHeight="15" x14ac:dyDescent="0.25"/>
  <cols>
    <col min="2" max="2" width="6" customWidth="1"/>
    <col min="3" max="3" width="5.7109375" customWidth="1"/>
    <col min="4" max="4" width="5.85546875" customWidth="1"/>
    <col min="5" max="5" width="8" customWidth="1"/>
    <col min="6" max="6" width="6.28515625" customWidth="1"/>
    <col min="7" max="7" width="8" customWidth="1"/>
    <col min="8" max="8" width="8.28515625" customWidth="1"/>
    <col min="9" max="10" width="6.42578125" customWidth="1"/>
    <col min="11" max="11" width="8.28515625" customWidth="1"/>
    <col min="12" max="12" width="7.140625" customWidth="1"/>
    <col min="13" max="13" width="7.42578125" customWidth="1"/>
    <col min="14" max="14" width="7.28515625" customWidth="1"/>
    <col min="15" max="15" width="6.42578125" customWidth="1"/>
    <col min="17" max="17" width="7.425781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3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11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276</v>
      </c>
      <c r="C6" s="2">
        <v>417.13</v>
      </c>
      <c r="D6" s="2">
        <v>196.12</v>
      </c>
      <c r="E6" s="2">
        <v>17066</v>
      </c>
      <c r="F6" s="2">
        <v>23.536189999999998</v>
      </c>
      <c r="G6" s="2">
        <v>36.477580000000003</v>
      </c>
      <c r="H6" s="5">
        <f>F6/G6*100</f>
        <v>64.522344958190743</v>
      </c>
      <c r="I6" s="5">
        <v>41.3</v>
      </c>
      <c r="J6" s="5">
        <v>8.0000000000000002E-3</v>
      </c>
      <c r="K6" s="5">
        <v>41.308</v>
      </c>
      <c r="L6" s="5">
        <v>1.9506700000000001</v>
      </c>
      <c r="M6" s="5">
        <v>1.3820000000000001E-2</v>
      </c>
      <c r="N6" s="5">
        <v>2.0000000000000002E-5</v>
      </c>
      <c r="O6" s="5">
        <v>1.96451</v>
      </c>
      <c r="P6" s="5">
        <v>3.6145800000000001</v>
      </c>
      <c r="Q6" s="5">
        <f>O6/P6*100</f>
        <v>54.349606316639829</v>
      </c>
    </row>
    <row r="7" spans="1:17" x14ac:dyDescent="0.25">
      <c r="A7" s="9">
        <v>43586</v>
      </c>
      <c r="B7" s="3">
        <v>291</v>
      </c>
      <c r="C7" s="3">
        <v>442.96</v>
      </c>
      <c r="D7" s="3">
        <v>203.858</v>
      </c>
      <c r="E7" s="3">
        <v>15861</v>
      </c>
      <c r="F7" s="3">
        <v>23.121102</v>
      </c>
      <c r="G7" s="3">
        <v>37.917588000000002</v>
      </c>
      <c r="H7" s="6">
        <f t="shared" ref="H7:H18" si="0">F7/G7*100</f>
        <v>60.977248869310984</v>
      </c>
      <c r="I7" s="6">
        <v>49.994</v>
      </c>
      <c r="J7" s="6">
        <v>6.0000000000000001E-3</v>
      </c>
      <c r="K7" s="6">
        <v>50</v>
      </c>
      <c r="L7" s="6">
        <v>1.865167351</v>
      </c>
      <c r="M7" s="6">
        <v>1.2064027E-2</v>
      </c>
      <c r="N7" s="6">
        <v>1.164E-5</v>
      </c>
      <c r="O7" s="6">
        <v>1.8772430179999999</v>
      </c>
      <c r="P7" s="6">
        <v>3.7220747370000002</v>
      </c>
      <c r="Q7" s="6">
        <f t="shared" ref="Q7:Q18" si="1">O7/P7*100</f>
        <v>50.43539290973672</v>
      </c>
    </row>
    <row r="8" spans="1:17" x14ac:dyDescent="0.25">
      <c r="A8" s="8">
        <v>43617</v>
      </c>
      <c r="B8" s="2">
        <v>287</v>
      </c>
      <c r="C8" s="2">
        <v>431.93000000000018</v>
      </c>
      <c r="D8" s="2">
        <v>203.858</v>
      </c>
      <c r="E8" s="2">
        <v>14298</v>
      </c>
      <c r="F8" s="2">
        <v>21.996223000000001</v>
      </c>
      <c r="G8" s="2">
        <v>37.917588000000002</v>
      </c>
      <c r="H8" s="5">
        <f t="shared" si="0"/>
        <v>58.010607109291868</v>
      </c>
      <c r="I8" s="5">
        <v>82.441999999999993</v>
      </c>
      <c r="J8" s="5">
        <v>0.11499999999999999</v>
      </c>
      <c r="K8" s="5">
        <v>82.556999999999988</v>
      </c>
      <c r="L8" s="5">
        <v>1.8584447359999998</v>
      </c>
      <c r="M8" s="5">
        <v>2.5025705999999998E-2</v>
      </c>
      <c r="N8" s="5">
        <v>2.2620500000000002E-4</v>
      </c>
      <c r="O8" s="5">
        <v>1.8836966469999998</v>
      </c>
      <c r="P8" s="5">
        <v>3.720299158</v>
      </c>
      <c r="Q8" s="5">
        <f t="shared" si="1"/>
        <v>50.632934799056819</v>
      </c>
    </row>
    <row r="9" spans="1:17" x14ac:dyDescent="0.25">
      <c r="A9" s="9">
        <v>43647</v>
      </c>
      <c r="B9" s="3">
        <v>293</v>
      </c>
      <c r="C9" s="3">
        <v>456.62</v>
      </c>
      <c r="D9" s="3">
        <v>206.20699999999999</v>
      </c>
      <c r="E9" s="3">
        <v>12757</v>
      </c>
      <c r="F9" s="3">
        <v>19.534966000000001</v>
      </c>
      <c r="G9" s="3">
        <v>38.354502000000004</v>
      </c>
      <c r="H9" s="6">
        <f t="shared" si="0"/>
        <v>50.932654529056322</v>
      </c>
      <c r="I9" s="6">
        <v>84.13</v>
      </c>
      <c r="J9" s="6">
        <v>1.164E-5</v>
      </c>
      <c r="K9" s="6">
        <v>84.13</v>
      </c>
      <c r="L9" s="6">
        <v>1.6679264069999999</v>
      </c>
      <c r="M9" s="6">
        <v>1.9819832999999999E-2</v>
      </c>
      <c r="N9" s="6">
        <v>1.164E-5</v>
      </c>
      <c r="O9" s="6">
        <v>1.6877462399999998</v>
      </c>
      <c r="P9" s="6">
        <v>2.2376238530000001</v>
      </c>
      <c r="Q9" s="6">
        <f t="shared" si="1"/>
        <v>75.425824485077115</v>
      </c>
    </row>
    <row r="10" spans="1:17" x14ac:dyDescent="0.25">
      <c r="A10" s="8">
        <v>43678</v>
      </c>
      <c r="B10" s="2">
        <v>298</v>
      </c>
      <c r="C10" s="2">
        <v>456.68000000000006</v>
      </c>
      <c r="D10" s="2">
        <v>201.92099999999999</v>
      </c>
      <c r="E10" s="2">
        <v>14903</v>
      </c>
      <c r="F10" s="2">
        <v>22.263227000000001</v>
      </c>
      <c r="G10" s="2">
        <v>37.557305999999997</v>
      </c>
      <c r="H10" s="5">
        <f t="shared" si="0"/>
        <v>59.278019035763649</v>
      </c>
      <c r="I10" s="5">
        <v>49.119</v>
      </c>
      <c r="J10" s="5">
        <v>8.3000000000000002E-6</v>
      </c>
      <c r="K10" s="5">
        <v>49.122999999999998</v>
      </c>
      <c r="L10" s="5">
        <v>1.8813002009999997</v>
      </c>
      <c r="M10" s="5">
        <v>1.2482256999999998E-2</v>
      </c>
      <c r="N10" s="5">
        <v>8.3000000000000002E-6</v>
      </c>
      <c r="O10" s="5">
        <v>1.8937907579999997</v>
      </c>
      <c r="P10" s="5">
        <v>2.4052202570000003</v>
      </c>
      <c r="Q10" s="5">
        <f t="shared" si="1"/>
        <v>78.736687523249955</v>
      </c>
    </row>
    <row r="11" spans="1:17" x14ac:dyDescent="0.25">
      <c r="A11" s="9">
        <v>43709</v>
      </c>
      <c r="B11" s="3">
        <v>286</v>
      </c>
      <c r="C11" s="3">
        <v>436.99000000000018</v>
      </c>
      <c r="D11" s="3">
        <v>196.77500000000001</v>
      </c>
      <c r="E11" s="3">
        <v>13572</v>
      </c>
      <c r="F11" s="3">
        <v>19.985596000000001</v>
      </c>
      <c r="G11" s="3">
        <v>36.600149999999999</v>
      </c>
      <c r="H11" s="6">
        <f t="shared" si="0"/>
        <v>54.605229759987331</v>
      </c>
      <c r="I11" s="6">
        <v>60.567999999999998</v>
      </c>
      <c r="J11" s="6">
        <v>1.164E-5</v>
      </c>
      <c r="K11" s="6">
        <v>60.567999999999998</v>
      </c>
      <c r="L11" s="6">
        <v>1.6986706679999999</v>
      </c>
      <c r="M11" s="6">
        <v>1.3704575E-2</v>
      </c>
      <c r="N11" s="6">
        <v>1.164E-5</v>
      </c>
      <c r="O11" s="6">
        <v>1.7123752429999999</v>
      </c>
      <c r="P11" s="6">
        <v>2.2442184410000001</v>
      </c>
      <c r="Q11" s="6">
        <f t="shared" si="1"/>
        <v>76.30162963267442</v>
      </c>
    </row>
    <row r="12" spans="1:17" x14ac:dyDescent="0.25">
      <c r="A12" s="8">
        <v>43739</v>
      </c>
      <c r="B12" s="2">
        <v>220</v>
      </c>
      <c r="C12" s="2">
        <v>196.07999999999998</v>
      </c>
      <c r="D12" s="2">
        <v>352.08</v>
      </c>
      <c r="E12" s="2">
        <v>14043</v>
      </c>
      <c r="F12" s="2">
        <v>21.771699999999999</v>
      </c>
      <c r="G12" s="2">
        <v>36.470879999999994</v>
      </c>
      <c r="H12" s="5">
        <f t="shared" si="0"/>
        <v>59.696119205239917</v>
      </c>
      <c r="I12" s="5">
        <v>89.61</v>
      </c>
      <c r="J12" s="5">
        <v>2.2620500000000002E-4</v>
      </c>
      <c r="K12" s="5">
        <v>89.61</v>
      </c>
      <c r="L12" s="5">
        <v>1.8237013570000002</v>
      </c>
      <c r="M12" s="5">
        <v>3.508853E-2</v>
      </c>
      <c r="N12" s="5">
        <v>2.2620500000000002E-4</v>
      </c>
      <c r="O12" s="5">
        <v>1.8587898870000001</v>
      </c>
      <c r="P12" s="5">
        <v>3.5945339679999999</v>
      </c>
      <c r="Q12" s="5">
        <f t="shared" si="1"/>
        <v>51.711568274154651</v>
      </c>
    </row>
    <row r="13" spans="1:17" x14ac:dyDescent="0.25">
      <c r="A13" s="9">
        <v>43770</v>
      </c>
      <c r="B13" s="3">
        <v>286</v>
      </c>
      <c r="C13" s="3">
        <v>433.19</v>
      </c>
      <c r="D13" s="3">
        <v>198.01600000000002</v>
      </c>
      <c r="E13" s="3">
        <v>16085</v>
      </c>
      <c r="F13" s="3">
        <v>24.31841</v>
      </c>
      <c r="G13" s="3">
        <v>36.830976</v>
      </c>
      <c r="H13" s="6">
        <f t="shared" si="0"/>
        <v>66.027058310917425</v>
      </c>
      <c r="I13" s="6">
        <v>82.28</v>
      </c>
      <c r="J13" s="6">
        <v>1.164E-5</v>
      </c>
      <c r="K13" s="6">
        <v>82.28</v>
      </c>
      <c r="L13" s="6">
        <v>1.942549096</v>
      </c>
      <c r="M13" s="6">
        <v>2.6681282000000001E-2</v>
      </c>
      <c r="N13" s="6">
        <v>1.164E-5</v>
      </c>
      <c r="O13" s="6">
        <v>1.969230378</v>
      </c>
      <c r="P13" s="6">
        <v>3.5354965849999997</v>
      </c>
      <c r="Q13" s="6">
        <f t="shared" si="1"/>
        <v>55.698834114416208</v>
      </c>
    </row>
    <row r="14" spans="1:17" x14ac:dyDescent="0.25">
      <c r="A14" s="8">
        <v>43800</v>
      </c>
      <c r="B14" s="2">
        <v>294</v>
      </c>
      <c r="C14" s="2">
        <v>451.89999999999975</v>
      </c>
      <c r="D14" s="2">
        <v>203.375</v>
      </c>
      <c r="E14" s="2">
        <v>17955</v>
      </c>
      <c r="F14" s="2">
        <v>27.961689999999997</v>
      </c>
      <c r="G14" s="2">
        <v>37.827750000000002</v>
      </c>
      <c r="H14" s="5">
        <f t="shared" si="0"/>
        <v>73.918459332104064</v>
      </c>
      <c r="I14" s="5">
        <v>76.325000000000003</v>
      </c>
      <c r="J14" s="5">
        <v>8.3000000000000002E-6</v>
      </c>
      <c r="K14" s="5">
        <v>76.325000000000003</v>
      </c>
      <c r="L14" s="5">
        <v>2.2615319290000002</v>
      </c>
      <c r="M14" s="5">
        <v>2.6325745999999997E-2</v>
      </c>
      <c r="N14" s="5">
        <v>8.3000000000000002E-6</v>
      </c>
      <c r="O14" s="5">
        <v>2.2878576750000001</v>
      </c>
      <c r="P14" s="5">
        <v>3.6449784289999996</v>
      </c>
      <c r="Q14" s="5">
        <f t="shared" si="1"/>
        <v>62.767385858787492</v>
      </c>
    </row>
    <row r="15" spans="1:17" x14ac:dyDescent="0.25">
      <c r="A15" s="9">
        <v>43831</v>
      </c>
      <c r="B15" s="3">
        <v>293</v>
      </c>
      <c r="C15" s="3">
        <v>448.96000000000021</v>
      </c>
      <c r="D15" s="3">
        <v>203.85</v>
      </c>
      <c r="E15" s="3">
        <v>15335</v>
      </c>
      <c r="F15" s="3">
        <v>24.825521000000002</v>
      </c>
      <c r="G15" s="3">
        <v>37.9161</v>
      </c>
      <c r="H15" s="6">
        <f t="shared" si="0"/>
        <v>65.47488006414163</v>
      </c>
      <c r="I15" s="6">
        <v>68.884</v>
      </c>
      <c r="J15" s="6">
        <v>8.3000000000000002E-6</v>
      </c>
      <c r="K15" s="6">
        <v>68.884</v>
      </c>
      <c r="L15" s="6">
        <v>2.0864303199999998</v>
      </c>
      <c r="M15" s="6">
        <v>1.9497345999999999E-2</v>
      </c>
      <c r="N15" s="6">
        <v>8.3000000000000002E-6</v>
      </c>
      <c r="O15" s="6">
        <v>2.1059276659999999</v>
      </c>
      <c r="P15" s="6">
        <v>3.7494506579999998</v>
      </c>
      <c r="Q15" s="6">
        <f t="shared" si="1"/>
        <v>56.166298961867824</v>
      </c>
    </row>
    <row r="16" spans="1:17" x14ac:dyDescent="0.25">
      <c r="A16" s="8">
        <v>43862</v>
      </c>
      <c r="B16" s="2">
        <v>275</v>
      </c>
      <c r="C16" s="2">
        <v>420.00999999999993</v>
      </c>
      <c r="D16" s="2">
        <v>190.98599999999999</v>
      </c>
      <c r="E16" s="2">
        <v>15345</v>
      </c>
      <c r="F16" s="2">
        <v>24.892085999999999</v>
      </c>
      <c r="G16" s="2">
        <v>35.523395999999998</v>
      </c>
      <c r="H16" s="5">
        <f t="shared" si="0"/>
        <v>70.072371459080102</v>
      </c>
      <c r="I16" s="5">
        <v>90.626000000000005</v>
      </c>
      <c r="J16" s="5">
        <v>3.0000000000000001E-3</v>
      </c>
      <c r="K16" s="5">
        <v>90.629000000000005</v>
      </c>
      <c r="L16" s="5">
        <v>2.0066807089999998</v>
      </c>
      <c r="M16" s="5">
        <v>3.5805385000000002E-2</v>
      </c>
      <c r="N16" s="5">
        <v>3.5699999999999998E-7</v>
      </c>
      <c r="O16" s="5">
        <v>2.0424864509999998</v>
      </c>
      <c r="P16" s="5">
        <v>3.3893560669999996</v>
      </c>
      <c r="Q16" s="5">
        <f t="shared" si="1"/>
        <v>60.261784558028268</v>
      </c>
    </row>
    <row r="17" spans="1:17" x14ac:dyDescent="0.25">
      <c r="A17" s="9">
        <v>43891</v>
      </c>
      <c r="B17" s="3">
        <v>200</v>
      </c>
      <c r="C17" s="3">
        <v>313.24999999999977</v>
      </c>
      <c r="D17" s="3">
        <v>146.68600000000001</v>
      </c>
      <c r="E17" s="3">
        <v>10072</v>
      </c>
      <c r="F17" s="3">
        <v>15.576903</v>
      </c>
      <c r="G17" s="3">
        <v>27.283596000000003</v>
      </c>
      <c r="H17" s="6">
        <f t="shared" si="0"/>
        <v>57.092558473597101</v>
      </c>
      <c r="I17" s="6">
        <v>68.281999999999996</v>
      </c>
      <c r="J17" s="6">
        <v>4.0000000000000001E-3</v>
      </c>
      <c r="K17" s="6">
        <v>68.286000000000001</v>
      </c>
      <c r="L17" s="6">
        <v>1.249279647</v>
      </c>
      <c r="M17" s="6">
        <v>1.5459308999999999E-2</v>
      </c>
      <c r="N17" s="6">
        <v>8.3000000000000002E-6</v>
      </c>
      <c r="O17" s="6">
        <v>1.2647472560000002</v>
      </c>
      <c r="P17" s="6">
        <v>1.2705590950000001</v>
      </c>
      <c r="Q17" s="6">
        <f t="shared" si="1"/>
        <v>99.542576254589719</v>
      </c>
    </row>
    <row r="18" spans="1:17" x14ac:dyDescent="0.25">
      <c r="A18" s="1" t="s">
        <v>22</v>
      </c>
      <c r="B18" s="4">
        <f>SUM(B6:B17)</f>
        <v>3299</v>
      </c>
      <c r="C18" s="4">
        <f t="shared" ref="C18:F18" si="2">SUM(C6:C17)</f>
        <v>4905.7</v>
      </c>
      <c r="D18" s="4">
        <f t="shared" si="2"/>
        <v>2503.732</v>
      </c>
      <c r="E18" s="4">
        <f t="shared" si="2"/>
        <v>177292</v>
      </c>
      <c r="F18" s="4">
        <f t="shared" si="2"/>
        <v>269.783614</v>
      </c>
      <c r="G18" s="4">
        <f>SUM(G6:G17)</f>
        <v>436.67741199999995</v>
      </c>
      <c r="H18" s="7">
        <f t="shared" si="0"/>
        <v>61.780986739016406</v>
      </c>
      <c r="I18" s="7">
        <f t="shared" ref="I18:P18" si="3">SUM(I6:I17)</f>
        <v>843.56000000000006</v>
      </c>
      <c r="J18" s="7">
        <f t="shared" si="3"/>
        <v>0.13628602500000001</v>
      </c>
      <c r="K18" s="7">
        <f t="shared" si="3"/>
        <v>843.7</v>
      </c>
      <c r="L18" s="7">
        <f t="shared" si="3"/>
        <v>22.292352421000004</v>
      </c>
      <c r="M18" s="7">
        <f t="shared" si="3"/>
        <v>0.25577399599999995</v>
      </c>
      <c r="N18" s="7">
        <f t="shared" si="3"/>
        <v>5.5252700000000014E-4</v>
      </c>
      <c r="O18" s="7">
        <f t="shared" si="3"/>
        <v>22.548401218999999</v>
      </c>
      <c r="P18" s="7">
        <f t="shared" si="3"/>
        <v>37.128391248</v>
      </c>
      <c r="Q18" s="7">
        <f t="shared" si="1"/>
        <v>60.73088669096218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2021-09-14T21:01:42Z</cp:lastPrinted>
  <dcterms:created xsi:type="dcterms:W3CDTF">2018-10-29T04:00:07Z</dcterms:created>
  <dcterms:modified xsi:type="dcterms:W3CDTF">2021-09-14T21:03:34Z</dcterms:modified>
</cp:coreProperties>
</file>