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PICEJET\"/>
    </mc:Choice>
  </mc:AlternateContent>
  <bookViews>
    <workbookView showHorizontalScroll="0" showVerticalScroll="0" xWindow="0" yWindow="0" windowWidth="12015" windowHeight="9495"/>
  </bookViews>
  <sheets>
    <sheet name="SPICEJE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6" l="1"/>
  <c r="Q16" i="6" l="1"/>
  <c r="Q15" i="6"/>
  <c r="Q14" i="6"/>
  <c r="Q13" i="6"/>
  <c r="Q12" i="6"/>
  <c r="Q11" i="6"/>
  <c r="Q10" i="6"/>
  <c r="Q9" i="6"/>
  <c r="Q8" i="6"/>
  <c r="Q7" i="6"/>
  <c r="Q6" i="6"/>
  <c r="H16" i="6"/>
  <c r="H15" i="6"/>
  <c r="H14" i="6"/>
  <c r="H13" i="6"/>
  <c r="H12" i="6"/>
  <c r="H11" i="6"/>
  <c r="H10" i="6"/>
  <c r="H9" i="6"/>
  <c r="H8" i="6"/>
  <c r="H7" i="6"/>
  <c r="H6" i="6"/>
  <c r="P18" i="6" l="1"/>
  <c r="Q17" i="6" l="1"/>
  <c r="H17" i="6"/>
  <c r="M18" i="6" l="1"/>
  <c r="I18" i="6"/>
  <c r="B18" i="6"/>
  <c r="L18" i="6"/>
  <c r="F18" i="6"/>
  <c r="C18" i="6"/>
  <c r="G18" i="6"/>
  <c r="E18" i="6"/>
  <c r="D18" i="6"/>
  <c r="O18" i="6" l="1"/>
  <c r="Q18" i="6" s="1"/>
  <c r="K18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<sst xmlns="http://schemas.openxmlformats.org/spreadsheetml/2006/main" count="26" uniqueCount="24">
  <si>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</si>
  <si>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</si>
  <si>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</si>
  <si>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</si>
  <si>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</si>
  <si>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</si>
  <si>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</si>
  <si>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</si>
  <si>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</si>
  <si>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</si>
  <si>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</si>
  <si>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</si>
  <si>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</si>
  <si>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</si>
  <si>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</si>
  <si>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</si>
  <si>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</si>
  <si>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</si>
  <si>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</si>
  <si>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(स्पाइसजेट) </t>
  </si>
  <si>
    <t>Table 1.02 (SPICEJET)</t>
  </si>
  <si>
    <t>SOURCE:-  ICAO ATR FORM 'A' FURNISHED BY SPICEJET</t>
  </si>
  <si>
    <t>2023-24</t>
  </si>
  <si>
    <t>MONTHLY TRAFFIC AND OPERATING STATISTICS OF SPICEJET ON  SCHEDULED INTERNATIONAL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</si>
</sst>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8">
    <xf numFmtId="0" fontId="0" fillId="0" borderId="0" xfId="0"/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0" fillId="5" borderId="1" xfId="0" applyNumberFormat="1" applyFont="1" applyFill="1" applyBorder="1"/>
    <xf numFmtId="165" fontId="5" fillId="5" borderId="1" xfId="1" applyNumberFormat="1" applyFont="1" applyFill="1" applyBorder="1" applyAlignment="1">
      <alignment horizontal="right" vertical="center"/>
    </xf>
    <xf numFmtId="165" fontId="6" fillId="4" borderId="1" xfId="3" applyNumberFormat="1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vertical="center" wrapText="1"/>
    </xf>
    <xf numFmtId="165" fontId="3" fillId="6" borderId="1" xfId="3" applyNumberFormat="1" applyFill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0" fillId="0" borderId="0" xfId="0" applyAlignment="1">
      <alignment horizontal="center"/>
    </xf>
    <xf numFmtId="166" fontId="0" fillId="0" borderId="1" xfId="0" applyNumberFormat="1" applyFont="1" applyBorder="1"/>
    <xf numFmtId="0" fontId="6" fillId="0" borderId="0" xfId="0" applyFont="1" applyBorder="1" applyAlignment="1">
      <alignment horizontal="left" wrapText="1"/>
    </xf>
    <xf numFmtId="165" fontId="6" fillId="4" borderId="1" xfId="3" applyNumberFormat="1" applyFont="1" applyBorder="1" applyAlignment="1">
      <alignment horizontal="right" vertical="center"/>
    </xf>
    <xf numFmtId="167" fontId="3" fillId="4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zoomScaleNormal="100" zoomScaleSheetLayoutView="130" workbookViewId="0">
      <selection activeCell="P18" sqref="P18"/>
    </sheetView>
  </sheetViews>
  <sheetFormatPr defaultRowHeight="15" x14ac:dyDescent="0.25"/>
  <cols>
    <col min="1" max="1" width="17.42578125" style="14" customWidth="1"/>
    <col min="2" max="2" width="7.7109375" customWidth="1"/>
    <col min="3" max="3" width="9.28515625" customWidth="1"/>
    <col min="4" max="4" width="8.85546875" customWidth="1"/>
    <col min="5" max="5" width="11.5703125" customWidth="1"/>
    <col min="6" max="6" width="10.85546875" customWidth="1"/>
    <col min="7" max="7" width="10.7109375" customWidth="1"/>
    <col min="8" max="8" width="7.140625" customWidth="1"/>
    <col min="9" max="9" width="9.140625" customWidth="1"/>
    <col min="10" max="10" width="10" customWidth="1"/>
    <col min="11" max="11" width="10.7109375" customWidth="1"/>
    <col min="12" max="12" width="10.28515625" customWidth="1"/>
    <col min="13" max="13" width="11.42578125" customWidth="1"/>
    <col min="14" max="14" width="5.85546875" customWidth="1"/>
    <col min="15" max="15" width="9.7109375" customWidth="1"/>
    <col min="16" max="16" width="10.85546875" customWidth="1"/>
    <col min="17" max="17" width="7.28515625" customWidth="1"/>
  </cols>
  <sheetData>
    <row r="1" spans="1:17" ht="15" customHeight="1" x14ac:dyDescent="0.2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5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1.9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26" t="s">
        <v>3</v>
      </c>
      <c r="H4" s="2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26" t="s">
        <v>7</v>
      </c>
      <c r="Q4" s="26" t="s">
        <v>8</v>
      </c>
    </row>
    <row r="5" spans="1:17" ht="114.75" customHeight="1" x14ac:dyDescent="0.25">
      <c r="A5" s="24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7"/>
      <c r="H5" s="2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7"/>
      <c r="Q5" s="27"/>
    </row>
    <row r="6" spans="1:17" x14ac:dyDescent="0.25">
      <c r="A6" s="18">
        <v>45017</v>
      </c>
      <c r="B6" s="3">
        <v>1033</v>
      </c>
      <c r="C6" s="3">
        <v>3513.7</v>
      </c>
      <c r="D6" s="3">
        <v>2588.904</v>
      </c>
      <c r="E6" s="3">
        <v>154113</v>
      </c>
      <c r="F6" s="3">
        <v>38.694312199999999</v>
      </c>
      <c r="G6" s="3">
        <v>48.855573</v>
      </c>
      <c r="H6" s="4">
        <f t="shared" ref="H6:H16" si="0">F6/G6*100</f>
        <v>79.20142948686734</v>
      </c>
      <c r="I6" s="4">
        <v>231.25125999999995</v>
      </c>
      <c r="J6" s="4"/>
      <c r="K6" s="4">
        <v>231.25125999999995</v>
      </c>
      <c r="L6" s="4">
        <v>29.020734149999999</v>
      </c>
      <c r="M6" s="4">
        <v>0.52165684645999999</v>
      </c>
      <c r="N6" s="4"/>
      <c r="O6" s="4">
        <v>29.54239099646</v>
      </c>
      <c r="P6" s="4">
        <v>49.254567999999999</v>
      </c>
      <c r="Q6" s="9">
        <f t="shared" ref="Q6:Q16" si="1">O6/P6*100</f>
        <v>59.97898711944849</v>
      </c>
    </row>
    <row r="7" spans="1:17" x14ac:dyDescent="0.25">
      <c r="A7" s="19">
        <v>45047</v>
      </c>
      <c r="B7" s="1">
        <v>952</v>
      </c>
      <c r="C7" s="1">
        <v>3206.6833333333334</v>
      </c>
      <c r="D7" s="1">
        <v>2367.672</v>
      </c>
      <c r="E7" s="1">
        <v>154993</v>
      </c>
      <c r="F7" s="1">
        <v>385.65926100000001</v>
      </c>
      <c r="G7" s="1">
        <v>446.15829599999995</v>
      </c>
      <c r="H7" s="2">
        <f t="shared" si="0"/>
        <v>86.440006710084816</v>
      </c>
      <c r="I7" s="2">
        <v>190.92037000000002</v>
      </c>
      <c r="J7" s="2"/>
      <c r="K7" s="2">
        <v>190.92037000000002</v>
      </c>
      <c r="L7" s="2">
        <v>28.924444575000006</v>
      </c>
      <c r="M7" s="2">
        <v>0.42235844295000002</v>
      </c>
      <c r="N7" s="2"/>
      <c r="O7" s="12">
        <v>29.346803017950005</v>
      </c>
      <c r="P7" s="2">
        <v>45.293391999999997</v>
      </c>
      <c r="Q7" s="2">
        <f t="shared" si="1"/>
        <v>64.792681055881189</v>
      </c>
    </row>
    <row r="8" spans="1:17" x14ac:dyDescent="0.25">
      <c r="A8" s="18">
        <v>45078</v>
      </c>
      <c r="B8" s="3">
        <v>701</v>
      </c>
      <c r="C8" s="3">
        <v>2252.4833333333331</v>
      </c>
      <c r="D8" s="3">
        <v>1679.354</v>
      </c>
      <c r="E8" s="3">
        <v>109806</v>
      </c>
      <c r="F8" s="3">
        <v>261.28218400000003</v>
      </c>
      <c r="G8" s="3">
        <v>315.93649800000003</v>
      </c>
      <c r="H8" s="4">
        <f t="shared" si="0"/>
        <v>82.70085465086089</v>
      </c>
      <c r="I8" s="4">
        <v>125.56721000000003</v>
      </c>
      <c r="J8" s="4"/>
      <c r="K8" s="4">
        <v>125.56721000000003</v>
      </c>
      <c r="L8" s="4">
        <v>19.596163799999999</v>
      </c>
      <c r="M8" s="4">
        <v>0.28398317409999996</v>
      </c>
      <c r="N8" s="4"/>
      <c r="O8" s="4">
        <v>19.880146974100001</v>
      </c>
      <c r="P8" s="4">
        <v>31.265447999999999</v>
      </c>
      <c r="Q8" s="4">
        <f t="shared" si="1"/>
        <v>63.585037943803016</v>
      </c>
    </row>
    <row r="9" spans="1:17" x14ac:dyDescent="0.25">
      <c r="A9" s="19">
        <v>45108</v>
      </c>
      <c r="B9" s="1">
        <v>839</v>
      </c>
      <c r="C9" s="1">
        <v>2673.7333333333331</v>
      </c>
      <c r="D9" s="1">
        <v>1978.3820000000001</v>
      </c>
      <c r="E9" s="1">
        <v>134857</v>
      </c>
      <c r="F9" s="1">
        <v>316.55802500000004</v>
      </c>
      <c r="G9" s="1">
        <v>372.30609600000003</v>
      </c>
      <c r="H9" s="2">
        <f t="shared" si="0"/>
        <v>85.026280364745901</v>
      </c>
      <c r="I9" s="2">
        <v>136.82727000000008</v>
      </c>
      <c r="J9" s="2"/>
      <c r="K9" s="2">
        <v>136.82727000000008</v>
      </c>
      <c r="L9" s="2">
        <v>23.741851875000002</v>
      </c>
      <c r="M9" s="2">
        <v>0.31159572584000012</v>
      </c>
      <c r="N9" s="2"/>
      <c r="O9" s="12">
        <v>24.053447600840002</v>
      </c>
      <c r="P9" s="2">
        <v>36.257184000000002</v>
      </c>
      <c r="Q9" s="2">
        <f t="shared" si="1"/>
        <v>66.341190757781959</v>
      </c>
    </row>
    <row r="10" spans="1:17" x14ac:dyDescent="0.25">
      <c r="A10" s="18">
        <v>45139</v>
      </c>
      <c r="B10" s="3">
        <v>942</v>
      </c>
      <c r="C10" s="3">
        <v>3090.4166666666665</v>
      </c>
      <c r="D10" s="3">
        <v>2292.2550000000001</v>
      </c>
      <c r="E10" s="3">
        <v>140666</v>
      </c>
      <c r="F10" s="3">
        <v>346.78388900000004</v>
      </c>
      <c r="G10" s="3">
        <v>431.37852299999997</v>
      </c>
      <c r="H10" s="4">
        <f t="shared" si="0"/>
        <v>80.389697333170218</v>
      </c>
      <c r="I10" s="4">
        <v>145.99913000000009</v>
      </c>
      <c r="J10" s="4"/>
      <c r="K10" s="4">
        <v>145.99913000000009</v>
      </c>
      <c r="L10" s="4">
        <v>26.008791674999998</v>
      </c>
      <c r="M10" s="4">
        <v>0.33343529360999996</v>
      </c>
      <c r="N10" s="4"/>
      <c r="O10" s="4">
        <v>26.342226968609996</v>
      </c>
      <c r="P10" s="4">
        <v>42.399115999999999</v>
      </c>
      <c r="Q10" s="4">
        <f t="shared" si="1"/>
        <v>62.129189128872397</v>
      </c>
    </row>
    <row r="11" spans="1:17" x14ac:dyDescent="0.25">
      <c r="A11" s="19">
        <v>45170</v>
      </c>
      <c r="B11" s="1">
        <v>916</v>
      </c>
      <c r="C11" s="1">
        <v>2878.4666666666667</v>
      </c>
      <c r="D11" s="1">
        <v>2133.2750000000001</v>
      </c>
      <c r="E11" s="1">
        <v>134027</v>
      </c>
      <c r="F11" s="1">
        <v>322.54805599999997</v>
      </c>
      <c r="G11" s="1">
        <v>399.75251700000001</v>
      </c>
      <c r="H11" s="2">
        <f t="shared" si="0"/>
        <v>80.686935612215279</v>
      </c>
      <c r="I11" s="2">
        <v>156.94418000000002</v>
      </c>
      <c r="J11" s="2"/>
      <c r="K11" s="2">
        <v>156.94418000000002</v>
      </c>
      <c r="L11" s="2">
        <v>24.191104200000002</v>
      </c>
      <c r="M11" s="2">
        <v>0.35293691857999998</v>
      </c>
      <c r="N11" s="2"/>
      <c r="O11" s="12">
        <v>24.544041118580001</v>
      </c>
      <c r="P11" s="2">
        <v>38.690959999999997</v>
      </c>
      <c r="Q11" s="2">
        <f t="shared" si="1"/>
        <v>63.436113031519511</v>
      </c>
    </row>
    <row r="12" spans="1:17" x14ac:dyDescent="0.25">
      <c r="A12" s="18">
        <v>45200</v>
      </c>
      <c r="B12" s="3">
        <v>1004</v>
      </c>
      <c r="C12" s="3">
        <v>3162.8333333333335</v>
      </c>
      <c r="D12" s="3">
        <v>2321.018</v>
      </c>
      <c r="E12" s="3">
        <v>149804</v>
      </c>
      <c r="F12" s="3">
        <v>353.64838299999997</v>
      </c>
      <c r="G12" s="3">
        <v>435.68394799999999</v>
      </c>
      <c r="H12" s="4">
        <f t="shared" si="0"/>
        <v>81.17085438272791</v>
      </c>
      <c r="I12" s="4">
        <v>408.0458900000001</v>
      </c>
      <c r="J12" s="4"/>
      <c r="K12" s="4">
        <v>408.0458900000001</v>
      </c>
      <c r="L12" s="4">
        <v>26.523628724999995</v>
      </c>
      <c r="M12" s="4">
        <v>0.86489133612000013</v>
      </c>
      <c r="N12" s="4"/>
      <c r="O12" s="4">
        <v>27.388520061119994</v>
      </c>
      <c r="P12" s="4">
        <v>41.799631999999995</v>
      </c>
      <c r="Q12" s="4">
        <f t="shared" si="1"/>
        <v>65.523352122143081</v>
      </c>
    </row>
    <row r="13" spans="1:17" x14ac:dyDescent="0.25">
      <c r="A13" s="19">
        <v>45231</v>
      </c>
      <c r="B13" s="1">
        <v>974</v>
      </c>
      <c r="C13" s="1">
        <v>3134.25</v>
      </c>
      <c r="D13" s="1">
        <v>2290.4</v>
      </c>
      <c r="E13" s="1">
        <v>152465</v>
      </c>
      <c r="F13" s="1">
        <v>356.34222199999999</v>
      </c>
      <c r="G13" s="1">
        <v>432.12733199999997</v>
      </c>
      <c r="H13" s="2">
        <f t="shared" si="0"/>
        <v>82.462319694233088</v>
      </c>
      <c r="I13" s="2">
        <v>25.720510000000001</v>
      </c>
      <c r="J13" s="2"/>
      <c r="K13" s="2">
        <v>25.720510000000001</v>
      </c>
      <c r="L13" s="2">
        <v>26.725666649999987</v>
      </c>
      <c r="M13" s="2">
        <v>6.4011207520000002E-2</v>
      </c>
      <c r="N13" s="2"/>
      <c r="O13" s="12">
        <v>26.78967785751999</v>
      </c>
      <c r="P13" s="2">
        <v>42.884743999999998</v>
      </c>
      <c r="Q13" s="2">
        <f t="shared" si="1"/>
        <v>62.469016621668516</v>
      </c>
    </row>
    <row r="14" spans="1:17" x14ac:dyDescent="0.25">
      <c r="A14" s="18">
        <v>45261</v>
      </c>
      <c r="B14" s="3">
        <v>1067</v>
      </c>
      <c r="C14" s="3">
        <v>3484.3666666666668</v>
      </c>
      <c r="D14" s="3">
        <v>2576.2420000000002</v>
      </c>
      <c r="E14" s="3">
        <v>176486</v>
      </c>
      <c r="F14" s="3">
        <v>427.46033899999998</v>
      </c>
      <c r="G14" s="3">
        <v>486.03413900000004</v>
      </c>
      <c r="H14" s="4">
        <f t="shared" si="0"/>
        <v>87.948624324926257</v>
      </c>
      <c r="I14" s="4">
        <v>37.905549999999991</v>
      </c>
      <c r="J14" s="4"/>
      <c r="K14" s="4">
        <v>37.905549999999991</v>
      </c>
      <c r="L14" s="4">
        <v>32.059525424999997</v>
      </c>
      <c r="M14" s="4">
        <v>8.0720333299999975E-2</v>
      </c>
      <c r="N14" s="4"/>
      <c r="O14" s="4">
        <v>32.140245758299997</v>
      </c>
      <c r="P14" s="4">
        <v>49.458891999999999</v>
      </c>
      <c r="Q14" s="4">
        <f t="shared" si="1"/>
        <v>64.983756122761505</v>
      </c>
    </row>
    <row r="15" spans="1:17" x14ac:dyDescent="0.25">
      <c r="A15" s="19">
        <v>45292</v>
      </c>
      <c r="B15" s="15">
        <v>1120</v>
      </c>
      <c r="C15" s="1">
        <v>3776.6833333333334</v>
      </c>
      <c r="D15" s="1">
        <v>2746.1480000000001</v>
      </c>
      <c r="E15" s="1">
        <v>185778</v>
      </c>
      <c r="F15" s="1">
        <v>455.07552600000002</v>
      </c>
      <c r="G15" s="1">
        <v>517.86970799999995</v>
      </c>
      <c r="H15" s="2">
        <f t="shared" si="0"/>
        <v>87.874521133412202</v>
      </c>
      <c r="I15" s="2">
        <v>681.7425099999997</v>
      </c>
      <c r="J15" s="2"/>
      <c r="K15" s="2">
        <v>681.7425099999997</v>
      </c>
      <c r="L15" s="2">
        <v>34.130664450000012</v>
      </c>
      <c r="M15" s="2">
        <v>1.5617282298699997</v>
      </c>
      <c r="N15" s="2"/>
      <c r="O15" s="12">
        <v>35.692392679870011</v>
      </c>
      <c r="P15" s="2">
        <v>51.447463999999997</v>
      </c>
      <c r="Q15" s="2">
        <f t="shared" si="1"/>
        <v>69.376388853433113</v>
      </c>
    </row>
    <row r="16" spans="1:17" x14ac:dyDescent="0.25">
      <c r="A16" s="18">
        <v>45323</v>
      </c>
      <c r="B16" s="8">
        <v>907</v>
      </c>
      <c r="C16" s="3">
        <v>3055.9833333333331</v>
      </c>
      <c r="D16" s="3">
        <v>2195.694</v>
      </c>
      <c r="E16" s="3">
        <v>153194</v>
      </c>
      <c r="F16" s="3">
        <v>369.13760300000001</v>
      </c>
      <c r="G16" s="3">
        <v>413.60603100000003</v>
      </c>
      <c r="H16" s="4">
        <f t="shared" si="0"/>
        <v>89.24860261527472</v>
      </c>
      <c r="I16" s="4">
        <v>205.50004999999999</v>
      </c>
      <c r="J16" s="4"/>
      <c r="K16" s="4">
        <v>205.50004999999999</v>
      </c>
      <c r="L16" s="4">
        <v>27.685320225000002</v>
      </c>
      <c r="M16" s="4">
        <v>0.46914820508000005</v>
      </c>
      <c r="N16" s="4"/>
      <c r="O16" s="4">
        <v>28.154468430080005</v>
      </c>
      <c r="P16" s="4">
        <v>40.706767999999997</v>
      </c>
      <c r="Q16" s="4">
        <f t="shared" si="1"/>
        <v>69.164096815743292</v>
      </c>
    </row>
    <row r="17" spans="1:17" x14ac:dyDescent="0.25">
      <c r="A17" s="19">
        <v>45352</v>
      </c>
      <c r="B17" s="15">
        <v>939</v>
      </c>
      <c r="C17" s="1">
        <v>3151.75</v>
      </c>
      <c r="D17" s="1">
        <v>2292.8960000000002</v>
      </c>
      <c r="E17" s="1">
        <v>156783</v>
      </c>
      <c r="F17" s="1">
        <v>380.577586</v>
      </c>
      <c r="G17" s="1">
        <v>432.09905099999997</v>
      </c>
      <c r="H17" s="2">
        <f t="shared" ref="H17:H18" si="2">F17/G17*100</f>
        <v>88.076468837234273</v>
      </c>
      <c r="I17" s="2">
        <v>724.99540999999988</v>
      </c>
      <c r="J17" s="2"/>
      <c r="K17" s="2">
        <v>724.99540999999988</v>
      </c>
      <c r="L17" s="2">
        <v>28.54331895</v>
      </c>
      <c r="M17" s="2">
        <v>1.74409757995</v>
      </c>
      <c r="N17" s="2"/>
      <c r="O17" s="12">
        <v>30.287416529950001</v>
      </c>
      <c r="P17" s="2">
        <v>42.854427999999999</v>
      </c>
      <c r="Q17" s="2">
        <f t="shared" ref="Q17:Q18" si="3">O17/P17*100</f>
        <v>70.675115602873063</v>
      </c>
    </row>
    <row r="18" spans="1:17" x14ac:dyDescent="0.25">
      <c r="A18" s="5" t="s">
        <v>22</v>
      </c>
      <c r="B18" s="6">
        <f>SUM(B6:B17)</f>
        <v>11394</v>
      </c>
      <c r="C18" s="6">
        <f t="shared" ref="C18:P18" si="4">SUM(C6:C17)</f>
        <v>37381.35</v>
      </c>
      <c r="D18" s="6">
        <f t="shared" si="4"/>
        <v>27462.240000000002</v>
      </c>
      <c r="E18" s="6">
        <f t="shared" si="4"/>
        <v>1802972</v>
      </c>
      <c r="F18" s="6">
        <f t="shared" si="4"/>
        <v>4013.7673862000001</v>
      </c>
      <c r="G18" s="6">
        <f t="shared" si="4"/>
        <v>4731.8077119999998</v>
      </c>
      <c r="H18" s="7">
        <f t="shared" si="2"/>
        <v>84.825242919761322</v>
      </c>
      <c r="I18" s="7">
        <f t="shared" si="4"/>
        <v>3071.4193399999999</v>
      </c>
      <c r="J18" s="11"/>
      <c r="K18" s="17">
        <f t="shared" ref="K18" si="5">I18+J18</f>
        <v>3071.4193399999999</v>
      </c>
      <c r="L18" s="7">
        <f t="shared" si="4"/>
        <v>327.15121470000008</v>
      </c>
      <c r="M18" s="7">
        <f t="shared" si="4"/>
        <v>7.0105632933799997</v>
      </c>
      <c r="N18" s="10"/>
      <c r="O18" s="7">
        <f>L18+M18</f>
        <v>334.1617779933801</v>
      </c>
      <c r="P18" s="7">
        <f t="shared" si="4"/>
        <v>512.31259599999998</v>
      </c>
      <c r="Q18" s="7">
        <f t="shared" si="3"/>
        <v>65.226149152378071</v>
      </c>
    </row>
    <row r="19" spans="1:17" ht="15" customHeight="1" x14ac:dyDescent="0.25">
      <c r="A19" s="20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2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scale="7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2022-04-26T05:56:47Z</cp:lastPrinted>
  <dcterms:created xsi:type="dcterms:W3CDTF">2018-10-29T04:00:09Z</dcterms:created>
  <dcterms:modified xsi:type="dcterms:W3CDTF">2025-01-24T06:57:02Z</dcterms:modified>
</cp:coreProperties>
</file>