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Monthly_Template!$A$1:$Q$77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O35" i="2"/>
  <c r="Q35" i="2" s="1"/>
  <c r="N35" i="2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<sst xmlns="http://schemas.openxmlformats.org/spreadsheetml/2006/main" count="154" uniqueCount="43">
  <si>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</si>
  <si>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</si>
  <si>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</si>
  <si>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</si>
  <si>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</si>
  <si>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</si>
  <si>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</si>
  <si>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</si>
  <si>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</si>
  <si>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</si>
  <si>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</si>
  <si>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</si>
  <si>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</si>
  <si>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</si>
  <si>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</si>
  <si>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</si>
  <si>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</si>
  <si>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</si>
  <si>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</si>
  <si>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</si>
  <si>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</si>
  <si>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</si>
  <si>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</si>
  <si>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</si>
  <si>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</si>
  <si>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</si>
  <si>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</si>
  <si>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</si>
  <si>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</si>
  <si>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</si>
  <si>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</si>
  <si>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</si>
  <si>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</si>
  <si>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</si>
  <si>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</si>
  <si>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</si>
  <si>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</si>
  <si>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</si>
  <si>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</si>
  <si>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</si>
  <si>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</si>
  <si>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</si>
  <si>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Note:  In wake of Covid-19 all International scheduled operations carried by Indian carriers have been suspended as per DGCA's Circular dated 26-03-2020.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</si>
</sst>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b/>
      <sz val="14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22" fillId="3" borderId="5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7" transitionEvaluation="1" transitionEntry="1" codeName="Sheet12"/>
  <dimension ref="A1:Q494"/>
  <sheetViews>
    <sheetView showGridLines="0" tabSelected="1" view="pageBreakPreview" topLeftCell="A57" zoomScale="55" zoomScaleNormal="85" zoomScaleSheetLayoutView="55" workbookViewId="0">
      <selection activeCell="A77" sqref="A77:Q77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2021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4359</v>
      </c>
      <c r="C4" s="5">
        <v>7169.33</v>
      </c>
      <c r="D4" s="6">
        <v>4790.2569999999996</v>
      </c>
      <c r="E4" s="7">
        <v>514479</v>
      </c>
      <c r="F4" s="5">
        <v>563747.72100000002</v>
      </c>
      <c r="G4" s="5">
        <v>804955.65700000001</v>
      </c>
      <c r="H4" s="8">
        <f>IFERROR(F4/G4*100," ")</f>
        <v>70.03463061568371</v>
      </c>
      <c r="I4" s="9">
        <v>3428.6460000000002</v>
      </c>
      <c r="J4" s="10"/>
      <c r="K4" s="8">
        <f>IF(AND(ISBLANK(I4),ISBLANK(J4))=TRUE,"",I4+J4)</f>
        <v>3428.6460000000002</v>
      </c>
      <c r="L4" s="9">
        <v>50737.294889999983</v>
      </c>
      <c r="M4" s="10">
        <v>4389.0610829999996</v>
      </c>
      <c r="N4" s="10"/>
      <c r="O4" s="8">
        <f>IF(AND(ISBLANK(L4),ISBLANK(M4),ISBLANK(N4))=TRUE,"",L4+M4+N4)</f>
        <v>55126.355972999983</v>
      </c>
      <c r="P4" s="10">
        <v>85695.056300000084</v>
      </c>
      <c r="Q4" s="8">
        <f>IFERROR(O4/P4*100," ")</f>
        <v>64.328513630954845</v>
      </c>
    </row>
    <row r="5" spans="1:17" ht="23.1" customHeight="1" x14ac:dyDescent="0.3">
      <c r="A5" s="11" t="s">
        <v>23</v>
      </c>
      <c r="B5" s="12">
        <v>4344</v>
      </c>
      <c r="C5" s="12">
        <v>7290.26</v>
      </c>
      <c r="D5" s="11">
        <v>4867.4340000000002</v>
      </c>
      <c r="E5" s="13">
        <v>540244</v>
      </c>
      <c r="F5" s="12">
        <v>599906.94099999999</v>
      </c>
      <c r="G5" s="12">
        <v>813739.75</v>
      </c>
      <c r="H5" s="14">
        <f t="shared" ref="H5:H16" si="0">IFERROR(F5/G5*100," ")</f>
        <v>73.722211677627897</v>
      </c>
      <c r="I5" s="15">
        <v>3772.5909999999999</v>
      </c>
      <c r="J5" s="16"/>
      <c r="K5" s="14">
        <f t="shared" ref="K5:K16" si="1">IF(AND(ISBLANK(I5),ISBLANK(J5))=TRUE,"",I5+J5)</f>
        <v>3772.5909999999999</v>
      </c>
      <c r="L5" s="15">
        <v>53991.783360000052</v>
      </c>
      <c r="M5" s="16">
        <v>4909.7799720000021</v>
      </c>
      <c r="N5" s="16"/>
      <c r="O5" s="14">
        <f t="shared" ref="O5:O16" si="2">IF(AND(ISBLANK(L5),ISBLANK(M5),ISBLANK(N5))=TRUE,"",L5+M5+N5)</f>
        <v>58901.563332000056</v>
      </c>
      <c r="P5" s="16">
        <v>85725.444300000032</v>
      </c>
      <c r="Q5" s="14">
        <f t="shared" ref="Q5:Q16" si="3">IFERROR(O5/P5*100," ")</f>
        <v>68.709545704856765</v>
      </c>
    </row>
    <row r="6" spans="1:17" ht="23.1" customHeight="1" x14ac:dyDescent="0.3">
      <c r="A6" s="17" t="s">
        <v>24</v>
      </c>
      <c r="B6" s="18">
        <v>4678</v>
      </c>
      <c r="C6" s="18">
        <v>7813</v>
      </c>
      <c r="D6" s="17">
        <v>5254.5590000000002</v>
      </c>
      <c r="E6" s="19">
        <v>499846</v>
      </c>
      <c r="F6" s="18">
        <v>565503.53700000001</v>
      </c>
      <c r="G6" s="18">
        <v>876286.929</v>
      </c>
      <c r="H6" s="20">
        <f t="shared" si="0"/>
        <v>64.534060509762554</v>
      </c>
      <c r="I6" s="21">
        <v>3677.6109999999999</v>
      </c>
      <c r="J6" s="22"/>
      <c r="K6" s="20">
        <f t="shared" si="1"/>
        <v>3677.6109999999999</v>
      </c>
      <c r="L6" s="21">
        <v>50895.318330000038</v>
      </c>
      <c r="M6" s="22">
        <v>4795.9030659999989</v>
      </c>
      <c r="N6" s="22"/>
      <c r="O6" s="20">
        <f t="shared" si="2"/>
        <v>55691.221396000037</v>
      </c>
      <c r="P6" s="22">
        <v>91732.963900000017</v>
      </c>
      <c r="Q6" s="20">
        <f t="shared" si="3"/>
        <v>60.710151540192449</v>
      </c>
    </row>
    <row r="7" spans="1:17" ht="23.1" customHeight="1" x14ac:dyDescent="0.3">
      <c r="A7" s="11" t="s">
        <v>25</v>
      </c>
      <c r="B7" s="12">
        <v>3491</v>
      </c>
      <c r="C7" s="12">
        <v>5937.13</v>
      </c>
      <c r="D7" s="11">
        <v>3937.3539999999998</v>
      </c>
      <c r="E7" s="13">
        <v>310936</v>
      </c>
      <c r="F7" s="12">
        <v>356306.75199999998</v>
      </c>
      <c r="G7" s="12">
        <v>652790.98</v>
      </c>
      <c r="H7" s="14">
        <f t="shared" si="0"/>
        <v>54.582058103805295</v>
      </c>
      <c r="I7" s="15">
        <v>2912.029</v>
      </c>
      <c r="J7" s="16"/>
      <c r="K7" s="14">
        <f t="shared" si="1"/>
        <v>2912.029</v>
      </c>
      <c r="L7" s="15">
        <v>32067.607680000008</v>
      </c>
      <c r="M7" s="16">
        <v>3832.1122079999996</v>
      </c>
      <c r="N7" s="16"/>
      <c r="O7" s="14">
        <f t="shared" si="2"/>
        <v>35899.719888000007</v>
      </c>
      <c r="P7" s="16">
        <v>67877.281699999992</v>
      </c>
      <c r="Q7" s="14">
        <f t="shared" si="3"/>
        <v>52.889153762325769</v>
      </c>
    </row>
    <row r="8" spans="1:17" s="23" customFormat="1" ht="30" customHeight="1" x14ac:dyDescent="0.25">
      <c r="A8" s="17" t="s">
        <v>26</v>
      </c>
      <c r="B8" s="18">
        <v>1464</v>
      </c>
      <c r="C8" s="18">
        <v>2336.34</v>
      </c>
      <c r="D8" s="17">
        <v>1590.5820000000001</v>
      </c>
      <c r="E8" s="19">
        <v>97031</v>
      </c>
      <c r="F8" s="18">
        <v>108606.82799999999</v>
      </c>
      <c r="G8" s="18">
        <v>265657.84999999998</v>
      </c>
      <c r="H8" s="20">
        <f t="shared" si="0"/>
        <v>40.882220495272399</v>
      </c>
      <c r="I8" s="21">
        <v>2018.7750000000001</v>
      </c>
      <c r="J8" s="22"/>
      <c r="K8" s="20">
        <f t="shared" si="1"/>
        <v>2018.7750000000001</v>
      </c>
      <c r="L8" s="21">
        <v>9774.6145199999974</v>
      </c>
      <c r="M8" s="22">
        <v>2603.6308710000012</v>
      </c>
      <c r="N8" s="22"/>
      <c r="O8" s="20">
        <f t="shared" si="2"/>
        <v>12378.245390999999</v>
      </c>
      <c r="P8" s="22">
        <v>27783.472899999993</v>
      </c>
      <c r="Q8" s="20">
        <f t="shared" si="3"/>
        <v>44.552549047962977</v>
      </c>
    </row>
    <row r="9" spans="1:17" ht="23.1" customHeight="1" x14ac:dyDescent="0.3">
      <c r="A9" s="11" t="s">
        <v>27</v>
      </c>
      <c r="B9" s="12">
        <v>2220</v>
      </c>
      <c r="C9" s="12">
        <v>3584.49</v>
      </c>
      <c r="D9" s="11">
        <v>2469.8870000000002</v>
      </c>
      <c r="E9" s="13">
        <v>224532</v>
      </c>
      <c r="F9" s="12">
        <v>248770.81700000001</v>
      </c>
      <c r="G9" s="12">
        <v>414602.37900000002</v>
      </c>
      <c r="H9" s="14">
        <f t="shared" si="0"/>
        <v>60.002264724100876</v>
      </c>
      <c r="I9" s="15">
        <v>3466.1080000000002</v>
      </c>
      <c r="J9" s="16"/>
      <c r="K9" s="14">
        <f t="shared" si="1"/>
        <v>3466.1080000000002</v>
      </c>
      <c r="L9" s="15">
        <v>22389.373530000008</v>
      </c>
      <c r="M9" s="16">
        <v>4542.164733999999</v>
      </c>
      <c r="N9" s="16"/>
      <c r="O9" s="14">
        <f t="shared" si="2"/>
        <v>26931.538264000006</v>
      </c>
      <c r="P9" s="16">
        <v>43135.362500000025</v>
      </c>
      <c r="Q9" s="14">
        <f t="shared" si="3"/>
        <v>62.434941317579032</v>
      </c>
    </row>
    <row r="10" spans="1:17" ht="23.1" customHeight="1" x14ac:dyDescent="0.3">
      <c r="A10" s="17" t="s">
        <v>28</v>
      </c>
      <c r="B10" s="18">
        <v>3458</v>
      </c>
      <c r="C10" s="18">
        <v>5751.04</v>
      </c>
      <c r="D10" s="17">
        <v>3936.2109999999998</v>
      </c>
      <c r="E10" s="19">
        <v>406943</v>
      </c>
      <c r="F10" s="18">
        <v>457545.397</v>
      </c>
      <c r="G10" s="18">
        <v>660859.88100000005</v>
      </c>
      <c r="H10" s="20">
        <f t="shared" si="0"/>
        <v>69.234857517398609</v>
      </c>
      <c r="I10" s="21">
        <v>4481.652</v>
      </c>
      <c r="J10" s="22"/>
      <c r="K10" s="20">
        <f t="shared" si="1"/>
        <v>4481.652</v>
      </c>
      <c r="L10" s="21">
        <v>41179.085729999992</v>
      </c>
      <c r="M10" s="22">
        <v>5894.2057039999991</v>
      </c>
      <c r="N10" s="22">
        <v>0</v>
      </c>
      <c r="O10" s="20">
        <f t="shared" si="2"/>
        <v>47073.291433999992</v>
      </c>
      <c r="P10" s="22">
        <v>69504.990600000034</v>
      </c>
      <c r="Q10" s="20">
        <f t="shared" si="3"/>
        <v>67.726491331976334</v>
      </c>
    </row>
    <row r="11" spans="1:17" ht="23.1" customHeight="1" x14ac:dyDescent="0.3">
      <c r="A11" s="11" t="s">
        <v>29</v>
      </c>
      <c r="B11" s="12">
        <v>4656</v>
      </c>
      <c r="C11" s="12">
        <v>7526.1</v>
      </c>
      <c r="D11" s="11">
        <v>5185.1769999999997</v>
      </c>
      <c r="E11" s="13">
        <v>558021</v>
      </c>
      <c r="F11" s="12">
        <v>617826.255</v>
      </c>
      <c r="G11" s="12">
        <v>866416.98400000005</v>
      </c>
      <c r="H11" s="14">
        <f t="shared" si="0"/>
        <v>71.308188367646309</v>
      </c>
      <c r="I11" s="15">
        <v>4536.8419999999996</v>
      </c>
      <c r="J11" s="16"/>
      <c r="K11" s="14">
        <f t="shared" si="1"/>
        <v>4536.8419999999996</v>
      </c>
      <c r="L11" s="15">
        <v>55604.362949999988</v>
      </c>
      <c r="M11" s="16">
        <v>5850.0989930000023</v>
      </c>
      <c r="N11" s="16"/>
      <c r="O11" s="14">
        <f t="shared" si="2"/>
        <v>61454.461942999988</v>
      </c>
      <c r="P11" s="16">
        <v>90470.560700000118</v>
      </c>
      <c r="Q11" s="14">
        <f t="shared" si="3"/>
        <v>67.927579388816483</v>
      </c>
    </row>
    <row r="12" spans="1:17" ht="23.1" customHeight="1" x14ac:dyDescent="0.3">
      <c r="A12" s="17" t="s">
        <v>30</v>
      </c>
      <c r="B12" s="18">
        <v>5069</v>
      </c>
      <c r="C12" s="18">
        <v>8267.5499999999993</v>
      </c>
      <c r="D12" s="17">
        <v>5622.4319999999998</v>
      </c>
      <c r="E12" s="19">
        <v>611819</v>
      </c>
      <c r="F12" s="18">
        <v>679315.82700000005</v>
      </c>
      <c r="G12" s="18">
        <v>938752.25199999998</v>
      </c>
      <c r="H12" s="20">
        <f t="shared" si="0"/>
        <v>72.363696124587307</v>
      </c>
      <c r="I12" s="21">
        <v>4520.08</v>
      </c>
      <c r="J12" s="22"/>
      <c r="K12" s="20">
        <f t="shared" si="1"/>
        <v>4520.08</v>
      </c>
      <c r="L12" s="21">
        <v>61138.424429999977</v>
      </c>
      <c r="M12" s="22">
        <v>5871.2063319999988</v>
      </c>
      <c r="N12" s="22">
        <v>0</v>
      </c>
      <c r="O12" s="20">
        <f t="shared" si="2"/>
        <v>67009.630761999972</v>
      </c>
      <c r="P12" s="22">
        <v>98094.555700000055</v>
      </c>
      <c r="Q12" s="20">
        <f t="shared" si="3"/>
        <v>68.311263845196194</v>
      </c>
    </row>
    <row r="13" spans="1:17" ht="23.1" customHeight="1" x14ac:dyDescent="0.3">
      <c r="A13" s="11" t="s">
        <v>31</v>
      </c>
      <c r="B13" s="12">
        <v>5576</v>
      </c>
      <c r="C13" s="12">
        <v>1201.54</v>
      </c>
      <c r="D13" s="11">
        <v>6159.9350000000004</v>
      </c>
      <c r="E13" s="13">
        <v>696351</v>
      </c>
      <c r="F13" s="12">
        <v>776158.8</v>
      </c>
      <c r="G13" s="12">
        <v>1030600.282</v>
      </c>
      <c r="H13" s="14">
        <f t="shared" si="0"/>
        <v>75.311332002915179</v>
      </c>
      <c r="I13" s="15">
        <v>4659.75</v>
      </c>
      <c r="J13" s="16"/>
      <c r="K13" s="14">
        <f t="shared" si="1"/>
        <v>4659.75</v>
      </c>
      <c r="L13" s="15">
        <v>69854.291999999972</v>
      </c>
      <c r="M13" s="16">
        <v>6040.4205820000006</v>
      </c>
      <c r="N13" s="16">
        <v>0</v>
      </c>
      <c r="O13" s="14">
        <f t="shared" si="2"/>
        <v>75894.712581999978</v>
      </c>
      <c r="P13" s="16">
        <v>107843.73389999995</v>
      </c>
      <c r="Q13" s="14">
        <f t="shared" si="3"/>
        <v>70.374707771500866</v>
      </c>
    </row>
    <row r="14" spans="1:17" ht="23.1" customHeight="1" x14ac:dyDescent="0.3">
      <c r="A14" s="17" t="s">
        <v>32</v>
      </c>
      <c r="B14" s="18">
        <v>6135</v>
      </c>
      <c r="C14" s="18">
        <v>1291.4100000000001</v>
      </c>
      <c r="D14" s="17">
        <v>6764.9219999999996</v>
      </c>
      <c r="E14" s="19">
        <v>793152</v>
      </c>
      <c r="F14" s="18">
        <v>873064.27899999998</v>
      </c>
      <c r="G14" s="18">
        <v>1133870.254</v>
      </c>
      <c r="H14" s="20">
        <f t="shared" si="0"/>
        <v>76.998605080259921</v>
      </c>
      <c r="I14" s="21">
        <v>3963.23</v>
      </c>
      <c r="J14" s="22">
        <v>316.08434</v>
      </c>
      <c r="K14" s="20">
        <f t="shared" si="1"/>
        <v>4279.3143399999999</v>
      </c>
      <c r="L14" s="21">
        <v>78575.785109999983</v>
      </c>
      <c r="M14" s="22">
        <v>5200.2455999999984</v>
      </c>
      <c r="N14" s="22">
        <v>414.71750741999989</v>
      </c>
      <c r="O14" s="20">
        <f t="shared" si="2"/>
        <v>84190.748217419983</v>
      </c>
      <c r="P14" s="22">
        <v>118044.90600000002</v>
      </c>
      <c r="Q14" s="20">
        <f t="shared" si="3"/>
        <v>71.320949857353412</v>
      </c>
    </row>
    <row r="15" spans="1:17" ht="23.1" customHeight="1" x14ac:dyDescent="0.3">
      <c r="A15" s="24" t="s">
        <v>33</v>
      </c>
      <c r="B15" s="25">
        <v>6581</v>
      </c>
      <c r="C15" s="25">
        <v>10847.5</v>
      </c>
      <c r="D15" s="26">
        <v>7199.3339999999998</v>
      </c>
      <c r="E15" s="27">
        <v>861086</v>
      </c>
      <c r="F15" s="25">
        <v>943780.69299999997</v>
      </c>
      <c r="G15" s="25">
        <v>1208669.4620000001</v>
      </c>
      <c r="H15" s="28">
        <f t="shared" si="0"/>
        <v>78.084267260158498</v>
      </c>
      <c r="I15" s="29">
        <v>4045.1829999999995</v>
      </c>
      <c r="J15" s="30">
        <v>334.21677000000011</v>
      </c>
      <c r="K15" s="28">
        <f t="shared" si="1"/>
        <v>4379.39977</v>
      </c>
      <c r="L15" s="29">
        <v>84940.262369999997</v>
      </c>
      <c r="M15" s="30">
        <v>5256.8864129999993</v>
      </c>
      <c r="N15" s="30">
        <v>433.01164594999972</v>
      </c>
      <c r="O15" s="28">
        <f t="shared" si="2"/>
        <v>90630.160428949996</v>
      </c>
      <c r="P15" s="16">
        <v>123870.93530000003</v>
      </c>
      <c r="Q15" s="14">
        <f t="shared" si="3"/>
        <v>73.164992424942128</v>
      </c>
    </row>
    <row r="16" spans="1:17" ht="23.1" customHeight="1" x14ac:dyDescent="0.3">
      <c r="A16" s="31" t="s">
        <v>34</v>
      </c>
      <c r="B16" s="32">
        <f t="shared" ref="B16:G16" si="4">SUM(B4:B15)</f>
        <v>52031</v>
      </c>
      <c r="C16" s="32">
        <f t="shared" si="4"/>
        <v>69015.69</v>
      </c>
      <c r="D16" s="32">
        <f t="shared" si="4"/>
        <v>57778.083999999995</v>
      </c>
      <c r="E16" s="32">
        <f t="shared" si="4"/>
        <v>6114440</v>
      </c>
      <c r="F16" s="32">
        <f t="shared" si="4"/>
        <v>6790533.8469999991</v>
      </c>
      <c r="G16" s="32">
        <f t="shared" si="4"/>
        <v>9667202.6600000001</v>
      </c>
      <c r="H16" s="33">
        <f t="shared" si="0"/>
        <v>70.243007060327827</v>
      </c>
      <c r="I16" s="33">
        <f>SUM(I4:I15)</f>
        <v>45482.497000000003</v>
      </c>
      <c r="J16" s="33">
        <f>SUM(J4:J15)</f>
        <v>650.30111000000011</v>
      </c>
      <c r="K16" s="33">
        <f t="shared" si="1"/>
        <v>46132.798110000003</v>
      </c>
      <c r="L16" s="33">
        <f>SUM(L4:L15)</f>
        <v>611148.20490000001</v>
      </c>
      <c r="M16" s="33">
        <f>SUM(M4:M15)</f>
        <v>59185.715557999996</v>
      </c>
      <c r="N16" s="33">
        <f>SUM(N4:N15)</f>
        <v>847.72915336999961</v>
      </c>
      <c r="O16" s="33">
        <f t="shared" si="2"/>
        <v>671181.64961137006</v>
      </c>
      <c r="P16" s="34">
        <f>SUM(P4:P15)</f>
        <v>1009779.2638000003</v>
      </c>
      <c r="Q16" s="34">
        <f t="shared" si="3"/>
        <v>66.468155335808731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2021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2021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4</v>
      </c>
      <c r="C42" s="71">
        <v>4.9450000000000003</v>
      </c>
      <c r="D42" s="72">
        <v>30.33</v>
      </c>
      <c r="E42" s="70">
        <v>131</v>
      </c>
      <c r="F42" s="71">
        <v>154.20099999999999</v>
      </c>
      <c r="G42" s="71">
        <v>846.7879999999999</v>
      </c>
      <c r="H42" s="73">
        <f t="shared" ref="H42:H54" si="10">IFERROR(F42/G42*100," ")</f>
        <v>18.210106898066577</v>
      </c>
      <c r="I42" s="74"/>
      <c r="J42" s="75"/>
      <c r="K42" s="73" t="str">
        <f>IF(AND(ISBLANK(I42),ISBLANK(J42))=TRUE,"",I42+J42)</f>
        <v/>
      </c>
      <c r="L42" s="74">
        <v>13.878089999999998</v>
      </c>
      <c r="M42" s="75"/>
      <c r="N42" s="75"/>
      <c r="O42" s="73">
        <f>IF(AND(ISBLANK(L42),ISBLANK(M42),ISBLANK(N42))=TRUE,"",L42+M42+N42)</f>
        <v>13.878089999999998</v>
      </c>
      <c r="P42" s="74">
        <v>87.850400000000008</v>
      </c>
      <c r="Q42" s="73">
        <f>IFERROR(O42/P42*100," ")</f>
        <v>15.797412419294615</v>
      </c>
    </row>
    <row r="43" spans="1:17" ht="25.5" customHeight="1" x14ac:dyDescent="0.3">
      <c r="A43" s="76" t="s">
        <v>23</v>
      </c>
      <c r="B43" s="77">
        <v>2</v>
      </c>
      <c r="C43" s="78">
        <v>4.57</v>
      </c>
      <c r="D43" s="79">
        <v>2.6339999999999999</v>
      </c>
      <c r="E43" s="77">
        <v>83</v>
      </c>
      <c r="F43" s="78">
        <v>98.572999999999993</v>
      </c>
      <c r="G43" s="78">
        <v>436.51600000000002</v>
      </c>
      <c r="H43" s="80">
        <f t="shared" si="10"/>
        <v>22.581761035105242</v>
      </c>
      <c r="I43" s="81"/>
      <c r="J43" s="82"/>
      <c r="K43" s="80" t="str">
        <f t="shared" ref="K43:K54" si="11">IF(AND(ISBLANK(I43),ISBLANK(J43))=TRUE,"",I43+J43)</f>
        <v/>
      </c>
      <c r="L43" s="81">
        <v>8.8715700000000002</v>
      </c>
      <c r="M43" s="82"/>
      <c r="N43" s="82"/>
      <c r="O43" s="80">
        <f t="shared" ref="O43:O54" si="12">IF(AND(ISBLANK(L43),ISBLANK(M43),ISBLANK(N43))=TRUE,"",L43+M43+N43)</f>
        <v>8.8715700000000002</v>
      </c>
      <c r="P43" s="81">
        <v>46.180700000000002</v>
      </c>
      <c r="Q43" s="80">
        <f t="shared" ref="Q43:Q54" si="13">IFERROR(O43/P43*100," ")</f>
        <v>19.210557657203118</v>
      </c>
    </row>
    <row r="44" spans="1:17" ht="25.5" customHeight="1" x14ac:dyDescent="0.3">
      <c r="A44" s="69" t="s">
        <v>24</v>
      </c>
      <c r="B44" s="83">
        <v>10</v>
      </c>
      <c r="C44" s="84">
        <v>18.53</v>
      </c>
      <c r="D44" s="85">
        <v>9.1609999999999996</v>
      </c>
      <c r="E44" s="83">
        <v>723</v>
      </c>
      <c r="F44" s="84">
        <v>593.27400000000011</v>
      </c>
      <c r="G44" s="84">
        <v>1495.5939999999998</v>
      </c>
      <c r="H44" s="86">
        <f t="shared" si="10"/>
        <v>39.668118486701616</v>
      </c>
      <c r="I44" s="87"/>
      <c r="J44" s="88"/>
      <c r="K44" s="86" t="str">
        <f t="shared" si="11"/>
        <v/>
      </c>
      <c r="L44" s="87">
        <v>53.394660000000002</v>
      </c>
      <c r="M44" s="88"/>
      <c r="N44" s="88"/>
      <c r="O44" s="86">
        <f t="shared" si="12"/>
        <v>53.394660000000002</v>
      </c>
      <c r="P44" s="87">
        <v>153.90479999999999</v>
      </c>
      <c r="Q44" s="86">
        <f t="shared" si="13"/>
        <v>34.693303912548537</v>
      </c>
    </row>
    <row r="45" spans="1:17" ht="25.5" customHeight="1" x14ac:dyDescent="0.3">
      <c r="A45" s="76" t="s">
        <v>25</v>
      </c>
      <c r="B45" s="77">
        <v>19</v>
      </c>
      <c r="C45" s="89">
        <v>17.38</v>
      </c>
      <c r="D45" s="79">
        <v>21.149000000000001</v>
      </c>
      <c r="E45" s="77">
        <v>762</v>
      </c>
      <c r="F45" s="78">
        <v>1052.953</v>
      </c>
      <c r="G45" s="78">
        <v>3530.0759999999991</v>
      </c>
      <c r="H45" s="80">
        <f t="shared" si="10"/>
        <v>29.828054693440038</v>
      </c>
      <c r="I45" s="81"/>
      <c r="J45" s="82"/>
      <c r="K45" s="80" t="str">
        <f t="shared" si="11"/>
        <v/>
      </c>
      <c r="L45" s="81">
        <v>94.765770000000003</v>
      </c>
      <c r="M45" s="82"/>
      <c r="N45" s="82"/>
      <c r="O45" s="80">
        <f t="shared" si="12"/>
        <v>94.765770000000003</v>
      </c>
      <c r="P45" s="81">
        <v>369.22919999999999</v>
      </c>
      <c r="Q45" s="80">
        <f t="shared" si="13"/>
        <v>25.665838454813432</v>
      </c>
    </row>
    <row r="46" spans="1:17" ht="25.5" customHeight="1" x14ac:dyDescent="0.3">
      <c r="A46" s="69" t="s">
        <v>26</v>
      </c>
      <c r="B46" s="83">
        <v>11</v>
      </c>
      <c r="C46" s="90">
        <v>60.45</v>
      </c>
      <c r="D46" s="85">
        <v>10.202999999999999</v>
      </c>
      <c r="E46" s="83">
        <v>231</v>
      </c>
      <c r="F46" s="84">
        <v>219.661</v>
      </c>
      <c r="G46" s="84">
        <v>1703.86</v>
      </c>
      <c r="H46" s="86">
        <f t="shared" si="10"/>
        <v>12.891962954702851</v>
      </c>
      <c r="I46" s="87"/>
      <c r="J46" s="88"/>
      <c r="K46" s="86" t="str">
        <f t="shared" si="11"/>
        <v/>
      </c>
      <c r="L46" s="87">
        <v>20.525459999999999</v>
      </c>
      <c r="M46" s="88"/>
      <c r="N46" s="88"/>
      <c r="O46" s="86">
        <f t="shared" si="12"/>
        <v>20.525459999999999</v>
      </c>
      <c r="P46" s="87">
        <v>176.0018</v>
      </c>
      <c r="Q46" s="86">
        <f t="shared" si="13"/>
        <v>11.662073910607731</v>
      </c>
    </row>
    <row r="47" spans="1:17" ht="25.5" customHeight="1" x14ac:dyDescent="0.3">
      <c r="A47" s="76" t="s">
        <v>27</v>
      </c>
      <c r="B47" s="91">
        <v>1</v>
      </c>
      <c r="C47" s="92">
        <v>10.09</v>
      </c>
      <c r="D47" s="79">
        <v>1.73</v>
      </c>
      <c r="E47" s="91">
        <v>47</v>
      </c>
      <c r="F47" s="92">
        <v>81.31</v>
      </c>
      <c r="G47" s="92">
        <v>283.72000000000003</v>
      </c>
      <c r="H47" s="80">
        <f t="shared" si="10"/>
        <v>28.658536585365852</v>
      </c>
      <c r="I47" s="93">
        <v>0</v>
      </c>
      <c r="J47" s="94"/>
      <c r="K47" s="80">
        <f t="shared" si="11"/>
        <v>0</v>
      </c>
      <c r="L47" s="93">
        <v>7.3178999999999998</v>
      </c>
      <c r="M47" s="94"/>
      <c r="N47" s="94"/>
      <c r="O47" s="80">
        <f t="shared" si="12"/>
        <v>7.3178999999999998</v>
      </c>
      <c r="P47" s="93">
        <v>29.064</v>
      </c>
      <c r="Q47" s="80">
        <f t="shared" si="13"/>
        <v>25.178571428571427</v>
      </c>
    </row>
    <row r="48" spans="1:17" s="102" customFormat="1" ht="25.5" customHeight="1" x14ac:dyDescent="0.3">
      <c r="A48" s="95" t="s">
        <v>28</v>
      </c>
      <c r="B48" s="96">
        <v>9</v>
      </c>
      <c r="C48" s="97">
        <v>35.47</v>
      </c>
      <c r="D48" s="98">
        <v>10.716999999999999</v>
      </c>
      <c r="E48" s="96">
        <v>391</v>
      </c>
      <c r="F48" s="97">
        <v>483.54200000000003</v>
      </c>
      <c r="G48" s="97">
        <v>1746.7159999999999</v>
      </c>
      <c r="H48" s="99">
        <f t="shared" si="10"/>
        <v>27.68292040606487</v>
      </c>
      <c r="I48" s="100"/>
      <c r="J48" s="101"/>
      <c r="K48" s="99" t="str">
        <f t="shared" si="11"/>
        <v/>
      </c>
      <c r="L48" s="100">
        <v>43.51878</v>
      </c>
      <c r="M48" s="101"/>
      <c r="N48" s="101"/>
      <c r="O48" s="99">
        <f t="shared" si="12"/>
        <v>43.51878</v>
      </c>
      <c r="P48" s="100">
        <v>180.04560000000004</v>
      </c>
      <c r="Q48" s="99">
        <f t="shared" si="13"/>
        <v>24.170976685906233</v>
      </c>
    </row>
    <row r="49" spans="1:17" ht="25.5" customHeight="1" x14ac:dyDescent="0.3">
      <c r="A49" s="76" t="s">
        <v>29</v>
      </c>
      <c r="B49" s="91">
        <v>6</v>
      </c>
      <c r="C49" s="92">
        <v>10.59</v>
      </c>
      <c r="D49" s="103">
        <v>7.5600000000000005</v>
      </c>
      <c r="E49" s="91">
        <v>340</v>
      </c>
      <c r="F49" s="92">
        <v>420.81799999999998</v>
      </c>
      <c r="G49" s="92">
        <v>1248.92</v>
      </c>
      <c r="H49" s="80">
        <f t="shared" si="10"/>
        <v>33.694552093008355</v>
      </c>
      <c r="I49" s="93"/>
      <c r="J49" s="94"/>
      <c r="K49" s="80" t="str">
        <f t="shared" si="11"/>
        <v/>
      </c>
      <c r="L49" s="93">
        <v>37.873620000000003</v>
      </c>
      <c r="M49" s="94"/>
      <c r="N49" s="94"/>
      <c r="O49" s="80">
        <f t="shared" si="12"/>
        <v>37.873620000000003</v>
      </c>
      <c r="P49" s="93">
        <v>130.86699999999999</v>
      </c>
      <c r="Q49" s="80">
        <f t="shared" si="13"/>
        <v>28.940542688378279</v>
      </c>
    </row>
    <row r="50" spans="1:17" ht="25.5" customHeight="1" x14ac:dyDescent="0.3">
      <c r="A50" s="69" t="s">
        <v>30</v>
      </c>
      <c r="B50" s="104">
        <v>1</v>
      </c>
      <c r="C50" s="105">
        <v>2.4900000000000002</v>
      </c>
      <c r="D50" s="106">
        <v>2.04</v>
      </c>
      <c r="E50" s="104">
        <v>116</v>
      </c>
      <c r="F50" s="105">
        <v>236.64</v>
      </c>
      <c r="G50" s="105">
        <v>334.56</v>
      </c>
      <c r="H50" s="86">
        <f t="shared" si="10"/>
        <v>70.731707317073173</v>
      </c>
      <c r="I50" s="107">
        <v>0</v>
      </c>
      <c r="J50" s="108"/>
      <c r="K50" s="86">
        <f t="shared" si="11"/>
        <v>0</v>
      </c>
      <c r="L50" s="107">
        <v>21.297599999999999</v>
      </c>
      <c r="M50" s="108">
        <v>0</v>
      </c>
      <c r="N50" s="108"/>
      <c r="O50" s="86">
        <f t="shared" si="12"/>
        <v>21.297599999999999</v>
      </c>
      <c r="P50" s="107">
        <v>34.271999999999998</v>
      </c>
      <c r="Q50" s="86">
        <f t="shared" si="13"/>
        <v>62.142857142857146</v>
      </c>
    </row>
    <row r="51" spans="1:17" ht="25.5" customHeight="1" x14ac:dyDescent="0.3">
      <c r="A51" s="76" t="s">
        <v>31</v>
      </c>
      <c r="B51" s="91">
        <v>3</v>
      </c>
      <c r="C51" s="92">
        <v>191.52</v>
      </c>
      <c r="D51" s="103">
        <v>2.2669999999999999</v>
      </c>
      <c r="E51" s="91">
        <v>310</v>
      </c>
      <c r="F51" s="92">
        <v>147.87</v>
      </c>
      <c r="G51" s="92">
        <v>549.04300000000001</v>
      </c>
      <c r="H51" s="80">
        <f t="shared" si="10"/>
        <v>26.932316776645909</v>
      </c>
      <c r="I51" s="93">
        <v>0.99299999999999999</v>
      </c>
      <c r="J51" s="94"/>
      <c r="K51" s="80">
        <f t="shared" si="11"/>
        <v>0.99299999999999999</v>
      </c>
      <c r="L51" s="93">
        <v>13.308299999999999</v>
      </c>
      <c r="M51" s="94">
        <v>0.11734281000000001</v>
      </c>
      <c r="N51" s="94"/>
      <c r="O51" s="80">
        <f t="shared" si="12"/>
        <v>13.425642809999999</v>
      </c>
      <c r="P51" s="93">
        <v>85.616199999999992</v>
      </c>
      <c r="Q51" s="80">
        <f t="shared" si="13"/>
        <v>15.681194458525374</v>
      </c>
    </row>
    <row r="52" spans="1:17" ht="25.5" customHeight="1" x14ac:dyDescent="0.3">
      <c r="A52" s="69" t="s">
        <v>32</v>
      </c>
      <c r="B52" s="104">
        <v>5</v>
      </c>
      <c r="C52" s="105">
        <v>11.06</v>
      </c>
      <c r="D52" s="106">
        <v>4.5649999999999995</v>
      </c>
      <c r="E52" s="104">
        <v>636</v>
      </c>
      <c r="F52" s="105">
        <v>605.625</v>
      </c>
      <c r="G52" s="105">
        <v>765.22</v>
      </c>
      <c r="H52" s="86">
        <f t="shared" si="10"/>
        <v>79.143906327592063</v>
      </c>
      <c r="I52" s="107">
        <v>0</v>
      </c>
      <c r="J52" s="108"/>
      <c r="K52" s="86">
        <f t="shared" si="11"/>
        <v>0</v>
      </c>
      <c r="L52" s="107">
        <v>54.506249999999994</v>
      </c>
      <c r="M52" s="108">
        <v>0</v>
      </c>
      <c r="N52" s="108"/>
      <c r="O52" s="86">
        <f t="shared" si="12"/>
        <v>54.506249999999994</v>
      </c>
      <c r="P52" s="107">
        <v>80.004000000000019</v>
      </c>
      <c r="Q52" s="86">
        <f t="shared" si="13"/>
        <v>68.129406029698487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71</v>
      </c>
      <c r="C54" s="116">
        <f t="shared" si="14"/>
        <v>367.09500000000003</v>
      </c>
      <c r="D54" s="116">
        <f t="shared" si="14"/>
        <v>102.35600000000001</v>
      </c>
      <c r="E54" s="116">
        <f t="shared" si="14"/>
        <v>3770</v>
      </c>
      <c r="F54" s="116">
        <f t="shared" si="14"/>
        <v>4094.4670000000001</v>
      </c>
      <c r="G54" s="116">
        <f t="shared" si="14"/>
        <v>12941.012999999997</v>
      </c>
      <c r="H54" s="117">
        <f t="shared" si="10"/>
        <v>31.639462845760232</v>
      </c>
      <c r="I54" s="117">
        <f>SUM(I42:I53)</f>
        <v>0.99299999999999999</v>
      </c>
      <c r="J54" s="117">
        <f>SUM(J42:J53)</f>
        <v>0</v>
      </c>
      <c r="K54" s="117">
        <f t="shared" si="11"/>
        <v>0.99299999999999999</v>
      </c>
      <c r="L54" s="117">
        <f>SUM(L42:L53)</f>
        <v>369.25799999999992</v>
      </c>
      <c r="M54" s="117">
        <f>SUM(M42:M53)</f>
        <v>0.11734281000000001</v>
      </c>
      <c r="N54" s="117">
        <f>SUM(N42:N53)</f>
        <v>0</v>
      </c>
      <c r="O54" s="117">
        <f t="shared" si="12"/>
        <v>369.37534280999995</v>
      </c>
      <c r="P54" s="118">
        <f>SUM(P42:P53)</f>
        <v>1373.0356999999999</v>
      </c>
      <c r="Q54" s="117">
        <f t="shared" si="13"/>
        <v>26.90209313639842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2021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136</v>
      </c>
      <c r="C61" s="123">
        <v>516.27</v>
      </c>
      <c r="D61" s="124">
        <v>377.31</v>
      </c>
      <c r="E61" s="122">
        <v>12733</v>
      </c>
      <c r="F61" s="123">
        <v>42591.728000000003</v>
      </c>
      <c r="G61" s="123">
        <v>79212.564000000013</v>
      </c>
      <c r="H61" s="125">
        <f t="shared" ref="H61:H73" si="15">IFERROR(F61/G61*100," ")</f>
        <v>53.768904639925552</v>
      </c>
      <c r="I61" s="126">
        <v>219.483</v>
      </c>
      <c r="J61" s="127"/>
      <c r="K61" s="127">
        <f>IF(AND(ISBLANK(I61),ISBLANK(J61))=TRUE,"",I61+J61)</f>
        <v>219.483</v>
      </c>
      <c r="L61" s="126">
        <v>4472.1314400000001</v>
      </c>
      <c r="M61" s="127">
        <v>1280.6670450000001</v>
      </c>
      <c r="N61" s="127">
        <v>0</v>
      </c>
      <c r="O61" s="128">
        <f>IF(AND(ISBLANK(L61),ISBLANK(M61),ISBLANK(N61))=TRUE,"",L61+M61+N61)</f>
        <v>5752.7984850000003</v>
      </c>
      <c r="P61" s="127">
        <v>9910.9207999999999</v>
      </c>
      <c r="Q61" s="125">
        <f>IFERROR(O61/P61*100," ")</f>
        <v>58.045045471456092</v>
      </c>
    </row>
    <row r="62" spans="1:17" ht="24.75" customHeight="1" x14ac:dyDescent="0.3">
      <c r="A62" s="76" t="s">
        <v>23</v>
      </c>
      <c r="B62" s="91">
        <v>156</v>
      </c>
      <c r="C62" s="92">
        <v>581.55999999999995</v>
      </c>
      <c r="D62" s="103">
        <v>434.91899999999998</v>
      </c>
      <c r="E62" s="91">
        <v>15243</v>
      </c>
      <c r="F62" s="92">
        <v>49987.303999999996</v>
      </c>
      <c r="G62" s="92">
        <v>94827.02399999999</v>
      </c>
      <c r="H62" s="129">
        <f t="shared" si="15"/>
        <v>52.714196746277729</v>
      </c>
      <c r="I62" s="93">
        <v>378.78100000000001</v>
      </c>
      <c r="J62" s="94"/>
      <c r="K62" s="94">
        <f t="shared" ref="K62:K73" si="16">IF(AND(ISBLANK(I62),ISBLANK(J62))=TRUE,"",I62+J62)</f>
        <v>378.78100000000001</v>
      </c>
      <c r="L62" s="93">
        <v>5248.6669199999997</v>
      </c>
      <c r="M62" s="94">
        <v>2236.9002700000001</v>
      </c>
      <c r="N62" s="94">
        <v>0</v>
      </c>
      <c r="O62" s="80">
        <f t="shared" ref="O62:O73" si="17">IF(AND(ISBLANK(L62),ISBLANK(M62),ISBLANK(N62))=TRUE,"",L62+M62+N62)</f>
        <v>7485.5671899999998</v>
      </c>
      <c r="P62" s="94">
        <v>13331.4112</v>
      </c>
      <c r="Q62" s="129">
        <f t="shared" ref="Q62:Q73" si="18">IFERROR(O62/P62*100," ")</f>
        <v>56.149848487157904</v>
      </c>
    </row>
    <row r="63" spans="1:17" ht="24.75" customHeight="1" x14ac:dyDescent="0.3">
      <c r="A63" s="121" t="s">
        <v>24</v>
      </c>
      <c r="B63" s="130">
        <v>191</v>
      </c>
      <c r="C63" s="131">
        <v>715.31</v>
      </c>
      <c r="D63" s="132">
        <v>532.48</v>
      </c>
      <c r="E63" s="130">
        <v>19597</v>
      </c>
      <c r="F63" s="131">
        <v>63319.465000000004</v>
      </c>
      <c r="G63" s="131">
        <v>117554.61199999999</v>
      </c>
      <c r="H63" s="133">
        <f t="shared" si="15"/>
        <v>53.863871372396687</v>
      </c>
      <c r="I63" s="134">
        <v>541.03200000000004</v>
      </c>
      <c r="J63" s="135"/>
      <c r="K63" s="135">
        <f t="shared" si="16"/>
        <v>541.03200000000004</v>
      </c>
      <c r="L63" s="134">
        <v>6648.5438249999997</v>
      </c>
      <c r="M63" s="135">
        <v>3191.4389160000001</v>
      </c>
      <c r="N63" s="135">
        <v>0</v>
      </c>
      <c r="O63" s="136">
        <f t="shared" si="17"/>
        <v>9839.9827409999998</v>
      </c>
      <c r="P63" s="135">
        <v>16760.2664</v>
      </c>
      <c r="Q63" s="133">
        <f t="shared" si="18"/>
        <v>58.710181008817372</v>
      </c>
    </row>
    <row r="64" spans="1:17" ht="24.75" customHeight="1" x14ac:dyDescent="0.3">
      <c r="A64" s="76" t="s">
        <v>25</v>
      </c>
      <c r="B64" s="91">
        <v>158</v>
      </c>
      <c r="C64" s="92">
        <v>642.24</v>
      </c>
      <c r="D64" s="103">
        <v>491.88100000000003</v>
      </c>
      <c r="E64" s="91">
        <v>16205</v>
      </c>
      <c r="F64" s="92">
        <v>59844.328000000001</v>
      </c>
      <c r="G64" s="92">
        <v>113977.17200000001</v>
      </c>
      <c r="H64" s="129">
        <f t="shared" si="15"/>
        <v>52.50553856521374</v>
      </c>
      <c r="I64" s="93">
        <v>550.65899999999999</v>
      </c>
      <c r="J64" s="94"/>
      <c r="K64" s="94">
        <f t="shared" si="16"/>
        <v>550.65899999999999</v>
      </c>
      <c r="L64" s="93">
        <v>6283.6544400000002</v>
      </c>
      <c r="M64" s="94">
        <v>3254.0405740000001</v>
      </c>
      <c r="N64" s="94">
        <v>0</v>
      </c>
      <c r="O64" s="80">
        <f t="shared" si="17"/>
        <v>9537.6950140000008</v>
      </c>
      <c r="P64" s="94">
        <v>16979.542399999998</v>
      </c>
      <c r="Q64" s="129">
        <f t="shared" si="18"/>
        <v>56.171684662126118</v>
      </c>
    </row>
    <row r="65" spans="1:17" ht="24.75" customHeight="1" x14ac:dyDescent="0.3">
      <c r="A65" s="121" t="s">
        <v>26</v>
      </c>
      <c r="B65" s="130">
        <v>67</v>
      </c>
      <c r="C65" s="131">
        <v>354.49</v>
      </c>
      <c r="D65" s="132">
        <v>285.32799999999997</v>
      </c>
      <c r="E65" s="130">
        <v>5931</v>
      </c>
      <c r="F65" s="131">
        <v>27836.928</v>
      </c>
      <c r="G65" s="131">
        <v>74130.751999999993</v>
      </c>
      <c r="H65" s="133">
        <f t="shared" si="15"/>
        <v>37.551120485058618</v>
      </c>
      <c r="I65" s="134">
        <v>399.01299999999998</v>
      </c>
      <c r="J65" s="135"/>
      <c r="K65" s="135">
        <f t="shared" si="16"/>
        <v>399.01299999999998</v>
      </c>
      <c r="L65" s="134">
        <v>2871.6458400000001</v>
      </c>
      <c r="M65" s="135">
        <v>2558.293138</v>
      </c>
      <c r="N65" s="135">
        <v>0</v>
      </c>
      <c r="O65" s="136">
        <f t="shared" si="17"/>
        <v>5429.9389780000001</v>
      </c>
      <c r="P65" s="135">
        <v>12123.865599999999</v>
      </c>
      <c r="Q65" s="133">
        <f t="shared" si="18"/>
        <v>44.787192114699792</v>
      </c>
    </row>
    <row r="66" spans="1:17" ht="24.75" customHeight="1" x14ac:dyDescent="0.3">
      <c r="A66" s="76" t="s">
        <v>27</v>
      </c>
      <c r="B66" s="91">
        <v>57</v>
      </c>
      <c r="C66" s="92">
        <v>289.54000000000002</v>
      </c>
      <c r="D66" s="103">
        <v>256.14499999999998</v>
      </c>
      <c r="E66" s="91">
        <v>5633</v>
      </c>
      <c r="F66" s="92">
        <v>24888.709000000003</v>
      </c>
      <c r="G66" s="92">
        <v>67478.775999999998</v>
      </c>
      <c r="H66" s="129">
        <f t="shared" si="15"/>
        <v>36.883758828109158</v>
      </c>
      <c r="I66" s="93">
        <v>355.64000000000004</v>
      </c>
      <c r="J66" s="94"/>
      <c r="K66" s="94">
        <f t="shared" si="16"/>
        <v>355.64000000000004</v>
      </c>
      <c r="L66" s="93">
        <v>2613.314445</v>
      </c>
      <c r="M66" s="94">
        <v>1944.8129760000002</v>
      </c>
      <c r="N66" s="94">
        <v>0</v>
      </c>
      <c r="O66" s="80">
        <f t="shared" si="17"/>
        <v>4558.1274210000001</v>
      </c>
      <c r="P66" s="94">
        <v>11124.9728</v>
      </c>
      <c r="Q66" s="129">
        <f t="shared" si="18"/>
        <v>40.972032048473864</v>
      </c>
    </row>
    <row r="67" spans="1:17" ht="24.75" customHeight="1" x14ac:dyDescent="0.3">
      <c r="A67" s="121" t="s">
        <v>28</v>
      </c>
      <c r="B67" s="130">
        <v>75</v>
      </c>
      <c r="C67" s="131">
        <v>418.06</v>
      </c>
      <c r="D67" s="132">
        <v>329.40999999999997</v>
      </c>
      <c r="E67" s="130">
        <v>9034</v>
      </c>
      <c r="F67" s="131">
        <v>37597.5</v>
      </c>
      <c r="G67" s="131">
        <v>86910.133999999991</v>
      </c>
      <c r="H67" s="133">
        <f t="shared" si="15"/>
        <v>43.260202544389131</v>
      </c>
      <c r="I67" s="134">
        <v>358.04399999999998</v>
      </c>
      <c r="J67" s="135"/>
      <c r="K67" s="135">
        <f t="shared" si="16"/>
        <v>358.04399999999998</v>
      </c>
      <c r="L67" s="134">
        <v>3947.7375000000002</v>
      </c>
      <c r="M67" s="135">
        <v>2308.7324429999999</v>
      </c>
      <c r="N67" s="135">
        <v>0</v>
      </c>
      <c r="O67" s="136">
        <f t="shared" si="17"/>
        <v>6256.4699430000001</v>
      </c>
      <c r="P67" s="135">
        <v>14161.390799999999</v>
      </c>
      <c r="Q67" s="133">
        <f t="shared" si="18"/>
        <v>44.179770414922807</v>
      </c>
    </row>
    <row r="68" spans="1:17" ht="24.75" customHeight="1" x14ac:dyDescent="0.3">
      <c r="A68" s="76" t="s">
        <v>29</v>
      </c>
      <c r="B68" s="91">
        <v>188</v>
      </c>
      <c r="C68" s="92">
        <v>880.34</v>
      </c>
      <c r="D68" s="103">
        <v>670.23500000000001</v>
      </c>
      <c r="E68" s="91">
        <v>19680</v>
      </c>
      <c r="F68" s="92">
        <v>83501.373999999996</v>
      </c>
      <c r="G68" s="92">
        <v>164891.47899999999</v>
      </c>
      <c r="H68" s="129">
        <f t="shared" si="15"/>
        <v>50.640199546029905</v>
      </c>
      <c r="I68" s="93">
        <v>609.70000000000005</v>
      </c>
      <c r="J68" s="94"/>
      <c r="K68" s="94">
        <f t="shared" si="16"/>
        <v>609.70000000000005</v>
      </c>
      <c r="L68" s="93">
        <v>8767.6442699999989</v>
      </c>
      <c r="M68" s="94">
        <v>3599.1623950000003</v>
      </c>
      <c r="N68" s="94">
        <v>0</v>
      </c>
      <c r="O68" s="80">
        <f t="shared" si="17"/>
        <v>12366.806665</v>
      </c>
      <c r="P68" s="94">
        <v>25305.127400000001</v>
      </c>
      <c r="Q68" s="129">
        <f t="shared" si="18"/>
        <v>48.870754410823473</v>
      </c>
    </row>
    <row r="69" spans="1:17" ht="24.75" customHeight="1" x14ac:dyDescent="0.3">
      <c r="A69" s="121" t="s">
        <v>30</v>
      </c>
      <c r="B69" s="130">
        <v>285</v>
      </c>
      <c r="C69" s="131">
        <v>1229.45</v>
      </c>
      <c r="D69" s="132">
        <v>943.52499999999998</v>
      </c>
      <c r="E69" s="130">
        <v>29596</v>
      </c>
      <c r="F69" s="131">
        <v>110623.692</v>
      </c>
      <c r="G69" s="131">
        <v>225415.95199999999</v>
      </c>
      <c r="H69" s="133">
        <f t="shared" si="15"/>
        <v>49.075360913232977</v>
      </c>
      <c r="I69" s="134">
        <v>824.72350000000006</v>
      </c>
      <c r="J69" s="135"/>
      <c r="K69" s="135">
        <f t="shared" si="16"/>
        <v>824.72350000000006</v>
      </c>
      <c r="L69" s="134">
        <v>11615.487660000001</v>
      </c>
      <c r="M69" s="135">
        <v>5233.7986954999997</v>
      </c>
      <c r="N69" s="135">
        <v>0</v>
      </c>
      <c r="O69" s="136">
        <f t="shared" si="17"/>
        <v>16849.2863555</v>
      </c>
      <c r="P69" s="135">
        <v>34064.150399999999</v>
      </c>
      <c r="Q69" s="133">
        <f t="shared" si="18"/>
        <v>49.463398199122558</v>
      </c>
    </row>
    <row r="70" spans="1:17" ht="24.75" customHeight="1" x14ac:dyDescent="0.3">
      <c r="A70" s="76" t="s">
        <v>31</v>
      </c>
      <c r="B70" s="91">
        <v>334</v>
      </c>
      <c r="C70" s="92">
        <v>1389.29</v>
      </c>
      <c r="D70" s="103">
        <v>1046.383</v>
      </c>
      <c r="E70" s="91">
        <v>40696</v>
      </c>
      <c r="F70" s="92">
        <v>148102.057</v>
      </c>
      <c r="G70" s="92">
        <v>243736.08499999999</v>
      </c>
      <c r="H70" s="129">
        <f t="shared" si="15"/>
        <v>60.763287061084945</v>
      </c>
      <c r="I70" s="93">
        <v>1013.1035000000001</v>
      </c>
      <c r="J70" s="94"/>
      <c r="K70" s="94">
        <f t="shared" si="16"/>
        <v>1013.1035000000001</v>
      </c>
      <c r="L70" s="93">
        <v>15550.715985000001</v>
      </c>
      <c r="M70" s="94">
        <v>5322.001495187501</v>
      </c>
      <c r="N70" s="94">
        <v>0</v>
      </c>
      <c r="O70" s="80">
        <f t="shared" si="17"/>
        <v>20872.717480187501</v>
      </c>
      <c r="P70" s="94">
        <v>36079.217400000001</v>
      </c>
      <c r="Q70" s="129">
        <f t="shared" si="18"/>
        <v>57.852467388019072</v>
      </c>
    </row>
    <row r="71" spans="1:17" ht="24.75" customHeight="1" x14ac:dyDescent="0.3">
      <c r="A71" s="121" t="s">
        <v>32</v>
      </c>
      <c r="B71" s="130">
        <v>323</v>
      </c>
      <c r="C71" s="131">
        <v>1423.06</v>
      </c>
      <c r="D71" s="132">
        <v>1068.7460000000001</v>
      </c>
      <c r="E71" s="130">
        <v>48788</v>
      </c>
      <c r="F71" s="131">
        <v>192665.93099999998</v>
      </c>
      <c r="G71" s="131">
        <v>255907.82199999999</v>
      </c>
      <c r="H71" s="133">
        <f t="shared" si="15"/>
        <v>75.287237996187557</v>
      </c>
      <c r="I71" s="134">
        <v>1101.0553</v>
      </c>
      <c r="J71" s="135"/>
      <c r="K71" s="135">
        <f t="shared" si="16"/>
        <v>1101.0553</v>
      </c>
      <c r="L71" s="134">
        <v>20229.922755</v>
      </c>
      <c r="M71" s="135">
        <v>6168.8936786045006</v>
      </c>
      <c r="N71" s="135">
        <v>0</v>
      </c>
      <c r="O71" s="136">
        <f t="shared" si="17"/>
        <v>26398.816433604501</v>
      </c>
      <c r="P71" s="135">
        <v>38804.042000000001</v>
      </c>
      <c r="Q71" s="133">
        <f t="shared" si="18"/>
        <v>68.031099527220647</v>
      </c>
    </row>
    <row r="72" spans="1:17" ht="24.75" customHeight="1" x14ac:dyDescent="0.3">
      <c r="A72" s="76" t="s">
        <v>33</v>
      </c>
      <c r="B72" s="109">
        <v>453</v>
      </c>
      <c r="C72" s="110">
        <v>1972.44</v>
      </c>
      <c r="D72" s="111">
        <v>1473.8530000000001</v>
      </c>
      <c r="E72" s="109">
        <v>64515</v>
      </c>
      <c r="F72" s="110">
        <v>243636.87900000002</v>
      </c>
      <c r="G72" s="110">
        <v>332072.35800000001</v>
      </c>
      <c r="H72" s="112">
        <f t="shared" si="15"/>
        <v>73.368611728893143</v>
      </c>
      <c r="I72" s="113">
        <v>1095.8985</v>
      </c>
      <c r="J72" s="114"/>
      <c r="K72" s="114">
        <f t="shared" si="16"/>
        <v>1095.8985</v>
      </c>
      <c r="L72" s="113">
        <v>25581.872295000001</v>
      </c>
      <c r="M72" s="114">
        <v>6238.1492920174996</v>
      </c>
      <c r="N72" s="114"/>
      <c r="O72" s="112">
        <f t="shared" si="17"/>
        <v>31820.021587017502</v>
      </c>
      <c r="P72" s="114">
        <v>45530.028200000001</v>
      </c>
      <c r="Q72" s="112">
        <f t="shared" si="18"/>
        <v>69.887990069414244</v>
      </c>
    </row>
    <row r="73" spans="1:17" ht="24.75" customHeight="1" x14ac:dyDescent="0.3">
      <c r="A73" s="137" t="s">
        <v>34</v>
      </c>
      <c r="B73" s="138">
        <f t="shared" ref="B73:G73" si="19">SUM(B61:B72)</f>
        <v>2423</v>
      </c>
      <c r="C73" s="138">
        <f t="shared" si="19"/>
        <v>10412.049999999999</v>
      </c>
      <c r="D73" s="138">
        <f t="shared" si="19"/>
        <v>7910.2150000000001</v>
      </c>
      <c r="E73" s="138">
        <f t="shared" si="19"/>
        <v>287651</v>
      </c>
      <c r="F73" s="138">
        <f t="shared" si="19"/>
        <v>1084595.895</v>
      </c>
      <c r="G73" s="138">
        <f t="shared" si="19"/>
        <v>1856114.7299999997</v>
      </c>
      <c r="H73" s="139">
        <f t="shared" si="15"/>
        <v>58.433666705505871</v>
      </c>
      <c r="I73" s="140">
        <f>SUM(I61:I72)</f>
        <v>7447.1328000000003</v>
      </c>
      <c r="J73" s="140">
        <f>SUM(J61:J72)</f>
        <v>0</v>
      </c>
      <c r="K73" s="140">
        <f t="shared" si="16"/>
        <v>7447.1328000000003</v>
      </c>
      <c r="L73" s="140">
        <f>SUM(L61:L72)</f>
        <v>113831.337375</v>
      </c>
      <c r="M73" s="140">
        <f>SUM(M61:M72)</f>
        <v>43336.890918309502</v>
      </c>
      <c r="N73" s="140">
        <f>SUM(N61:N72)</f>
        <v>0</v>
      </c>
      <c r="O73" s="140">
        <f t="shared" si="17"/>
        <v>157168.22829330951</v>
      </c>
      <c r="P73" s="140">
        <f>SUM(P61:P72)</f>
        <v>274174.93539999996</v>
      </c>
      <c r="Q73" s="139">
        <f t="shared" si="18"/>
        <v>57.324068687757055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7" spans="1:17" x14ac:dyDescent="0.3">
      <c r="A77" s="172" t="s">
        <v>42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5">
    <mergeCell ref="A77:Q7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2022-02-17T11:38:15Z</dcterms:created>
  <dcterms:modified xsi:type="dcterms:W3CDTF">2022-02-22T10:36:40Z</dcterms:modified>
</cp:coreProperties>
</file>