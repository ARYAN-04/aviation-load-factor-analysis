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deep Verma\Desktop\Annual tables 22_23\reports of DD\Annual tables 22_23\INDIGO\"/>
    </mc:Choice>
  </mc:AlternateContent>
  <bookViews>
    <workbookView xWindow="0" yWindow="0" windowWidth="11970" windowHeight="9495"/>
  </bookViews>
  <sheets>
    <sheet name="INDIGO" sheetId="10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10" l="1"/>
  <c r="H17" i="10"/>
  <c r="Q16" i="10"/>
  <c r="H16" i="10"/>
  <c r="Q15" i="10"/>
  <c r="H15" i="10"/>
  <c r="Q14" i="10"/>
  <c r="H14" i="10"/>
  <c r="Q13" i="10"/>
  <c r="H13" i="10"/>
  <c r="Q12" i="10"/>
  <c r="H12" i="10"/>
  <c r="Q11" i="10"/>
  <c r="H11" i="10"/>
  <c r="Q10" i="10"/>
  <c r="H10" i="10"/>
  <c r="Q9" i="10"/>
  <c r="H9" i="10"/>
  <c r="Q8" i="10"/>
  <c r="H8" i="10"/>
  <c r="Q7" i="10"/>
  <c r="H7" i="10"/>
  <c r="Q6" i="10"/>
  <c r="H6" i="10"/>
  <c r="C18" i="10" l="1"/>
  <c r="P18" i="10" l="1"/>
  <c r="G18" i="10" l="1"/>
  <c r="I18" i="10" l="1"/>
  <c r="B18" i="10"/>
  <c r="O18" i="10"/>
  <c r="N18" i="10"/>
  <c r="M18" i="10"/>
  <c r="L18" i="10"/>
  <c r="K18" i="10"/>
  <c r="J18" i="10"/>
  <c r="F18" i="10"/>
  <c r="E18" i="10"/>
  <c r="D18" i="10"/>
  <c r="Q18" i="10" l="1"/>
  <c r="H18" i="10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<sst xmlns="http://schemas.openxmlformats.org/spreadsheetml/2006/main" count="26" uniqueCount="24">
  <si>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</si>
  <si>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</si>
  <si>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</si>
  <si>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</si>
  <si>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</si>
  <si>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</si>
  <si>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</si>
  <si>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</si>
  <si>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</si>
  <si>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</si>
  <si>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</si>
  <si>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</si>
  <si>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</si>
  <si>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</si>
  <si>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</si>
  <si>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</si>
  <si>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</si>
  <si>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</si>
  <si>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</si>
  <si>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(इंडिगो) </t>
  </si>
  <si>
    <t>Table 1.01 (INDIGO)</t>
  </si>
  <si>
    <t>SOURCE:-  ICAO ATR FORM 'A' FURNISHED BY INDIGO</t>
  </si>
  <si>
    <t>MONTHLY TRAFFIC AND OPERATING STATISTICS OF INDIGO ON SCHEDULED DOMESTIC SERVICES DURING 2022-23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</si>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</sst>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7" fontId="3" fillId="4" borderId="1" xfId="3" applyNumberForma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topLeftCell="A10" zoomScaleNormal="100" zoomScaleSheetLayoutView="115" workbookViewId="0">
      <selection activeCell="N33" sqref="N33"/>
    </sheetView>
  </sheetViews>
  <sheetFormatPr defaultRowHeight="15" x14ac:dyDescent="0.25"/>
  <cols>
    <col min="1" max="1" width="16.42578125" style="11" customWidth="1"/>
    <col min="2" max="2" width="11" customWidth="1"/>
    <col min="3" max="3" width="12.140625" customWidth="1"/>
    <col min="4" max="4" width="11.5703125" customWidth="1"/>
    <col min="5" max="5" width="15.42578125" customWidth="1"/>
    <col min="6" max="6" width="10.7109375" customWidth="1"/>
    <col min="7" max="7" width="11" customWidth="1"/>
    <col min="8" max="8" width="8.5703125" customWidth="1"/>
    <col min="9" max="9" width="13.140625" customWidth="1"/>
    <col min="10" max="10" width="11" customWidth="1"/>
    <col min="11" max="11" width="11.5703125" customWidth="1"/>
    <col min="12" max="12" width="10.42578125" customWidth="1"/>
    <col min="13" max="14" width="9.42578125" customWidth="1"/>
    <col min="15" max="15" width="11" customWidth="1"/>
    <col min="16" max="16" width="8.140625" customWidth="1"/>
    <col min="17" max="17" width="8.28515625" customWidth="1"/>
  </cols>
  <sheetData>
    <row r="1" spans="1:17" x14ac:dyDescent="0.25">
      <c r="A1" s="18" t="s">
        <v>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30.75" customHeight="1" x14ac:dyDescent="0.25">
      <c r="A3" s="21" t="s">
        <v>22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3.6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3" t="s">
        <v>3</v>
      </c>
      <c r="H4" s="13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3" t="s">
        <v>7</v>
      </c>
      <c r="Q4" s="13" t="s">
        <v>8</v>
      </c>
    </row>
    <row r="5" spans="1:17" ht="120.75" customHeight="1" x14ac:dyDescent="0.25">
      <c r="A5" s="21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14"/>
      <c r="H5" s="14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14"/>
      <c r="Q5" s="14"/>
    </row>
    <row r="6" spans="1:17" x14ac:dyDescent="0.25">
      <c r="A6" s="9">
        <v>44652</v>
      </c>
      <c r="B6" s="2">
        <v>43927</v>
      </c>
      <c r="C6" s="2">
        <v>75079.520000000004</v>
      </c>
      <c r="D6" s="2">
        <v>38171.49</v>
      </c>
      <c r="E6" s="2">
        <v>5957411</v>
      </c>
      <c r="F6" s="2">
        <v>5665.27</v>
      </c>
      <c r="G6" s="2">
        <v>7108.9849999999997</v>
      </c>
      <c r="H6" s="5">
        <f t="shared" ref="H6:H17" si="0">F6/G6*100</f>
        <v>79.691685943914649</v>
      </c>
      <c r="I6" s="5">
        <v>18927.36</v>
      </c>
      <c r="J6" s="5">
        <v>1991.0550000000017</v>
      </c>
      <c r="K6" s="5">
        <v>20918.415000000001</v>
      </c>
      <c r="L6" s="5">
        <v>509.82735779999899</v>
      </c>
      <c r="M6" s="5">
        <v>22.366484611000001</v>
      </c>
      <c r="N6" s="5">
        <v>1.8752857620000001</v>
      </c>
      <c r="O6" s="5">
        <v>534.06912817299894</v>
      </c>
      <c r="P6" s="5">
        <v>820.81336913799998</v>
      </c>
      <c r="Q6" s="5">
        <f t="shared" ref="Q6:Q17" si="1">O6/P6*100</f>
        <v>65.065841792253764</v>
      </c>
    </row>
    <row r="7" spans="1:17" x14ac:dyDescent="0.25">
      <c r="A7" s="10">
        <v>44682</v>
      </c>
      <c r="B7" s="3">
        <v>45450</v>
      </c>
      <c r="C7" s="3">
        <v>78683.78</v>
      </c>
      <c r="D7" s="3">
        <v>39809.33</v>
      </c>
      <c r="E7" s="3">
        <v>6376429</v>
      </c>
      <c r="F7" s="3">
        <v>6076.1109999999999</v>
      </c>
      <c r="G7" s="3">
        <v>7427.8630000000003</v>
      </c>
      <c r="H7" s="6">
        <f t="shared" si="0"/>
        <v>81.801602964405774</v>
      </c>
      <c r="I7" s="6">
        <v>21972.943999999992</v>
      </c>
      <c r="J7" s="6">
        <v>1742.731</v>
      </c>
      <c r="K7" s="6">
        <v>23715.674999999992</v>
      </c>
      <c r="L7" s="6">
        <v>546.73108254000078</v>
      </c>
      <c r="M7" s="6">
        <v>26.443095150999945</v>
      </c>
      <c r="N7" s="6">
        <v>1.6598479370000019</v>
      </c>
      <c r="O7" s="6">
        <v>574.83402562800075</v>
      </c>
      <c r="P7" s="6">
        <v>832.90472192400068</v>
      </c>
      <c r="Q7" s="6">
        <f t="shared" si="1"/>
        <v>69.01558011343009</v>
      </c>
    </row>
    <row r="8" spans="1:17" x14ac:dyDescent="0.25">
      <c r="A8" s="9">
        <v>44713</v>
      </c>
      <c r="B8" s="2">
        <v>44205</v>
      </c>
      <c r="C8" s="2">
        <v>76159.100000000006</v>
      </c>
      <c r="D8" s="2">
        <v>38559.370000000003</v>
      </c>
      <c r="E8" s="2">
        <v>5982787</v>
      </c>
      <c r="F8" s="2">
        <v>5684.8869999999997</v>
      </c>
      <c r="G8" s="2">
        <v>7234.5389999999998</v>
      </c>
      <c r="H8" s="5">
        <f t="shared" si="0"/>
        <v>78.579809992039571</v>
      </c>
      <c r="I8" s="5">
        <v>22031.485000000001</v>
      </c>
      <c r="J8" s="5">
        <v>1764.8009999999992</v>
      </c>
      <c r="K8" s="5">
        <v>23796.286</v>
      </c>
      <c r="L8" s="5">
        <v>511.59337685999901</v>
      </c>
      <c r="M8" s="5">
        <v>26.475747737000003</v>
      </c>
      <c r="N8" s="5">
        <v>1.675795529</v>
      </c>
      <c r="O8" s="5">
        <v>539.74492012599899</v>
      </c>
      <c r="P8" s="5">
        <v>811.83092914199904</v>
      </c>
      <c r="Q8" s="5">
        <f t="shared" si="1"/>
        <v>66.484892451244747</v>
      </c>
    </row>
    <row r="9" spans="1:17" x14ac:dyDescent="0.25">
      <c r="A9" s="10">
        <v>44743</v>
      </c>
      <c r="B9" s="3">
        <v>43029</v>
      </c>
      <c r="C9" s="3">
        <v>73669.48</v>
      </c>
      <c r="D9" s="3">
        <v>37099.949999999997</v>
      </c>
      <c r="E9" s="3">
        <v>5711288</v>
      </c>
      <c r="F9" s="3">
        <v>5402.5839999999998</v>
      </c>
      <c r="G9" s="3">
        <v>6955.3019999999997</v>
      </c>
      <c r="H9" s="6">
        <f t="shared" si="0"/>
        <v>77.675764474353528</v>
      </c>
      <c r="I9" s="6">
        <v>22448.197</v>
      </c>
      <c r="J9" s="6">
        <v>2056.9159999999988</v>
      </c>
      <c r="K9" s="6">
        <v>24505.112999999998</v>
      </c>
      <c r="L9" s="6">
        <v>486.16051311000001</v>
      </c>
      <c r="M9" s="6">
        <v>26.843902208999999</v>
      </c>
      <c r="N9" s="6">
        <v>1.937060636</v>
      </c>
      <c r="O9" s="6">
        <v>514.94147595499999</v>
      </c>
      <c r="P9" s="6">
        <v>780.61287596999898</v>
      </c>
      <c r="Q9" s="6">
        <f t="shared" si="1"/>
        <v>65.966305681946054</v>
      </c>
    </row>
    <row r="10" spans="1:17" x14ac:dyDescent="0.25">
      <c r="A10" s="9">
        <v>44774</v>
      </c>
      <c r="B10" s="2">
        <v>43171</v>
      </c>
      <c r="C10" s="2">
        <v>73508.58</v>
      </c>
      <c r="D10" s="2">
        <v>37012.43</v>
      </c>
      <c r="E10" s="2">
        <v>5832025</v>
      </c>
      <c r="F10" s="2">
        <v>5421.7250000000004</v>
      </c>
      <c r="G10" s="2">
        <v>6926.7479999999996</v>
      </c>
      <c r="H10" s="5">
        <f t="shared" si="0"/>
        <v>78.272300363749352</v>
      </c>
      <c r="I10" s="5">
        <v>20559.138999999999</v>
      </c>
      <c r="J10" s="5">
        <v>2167.8679999999999</v>
      </c>
      <c r="K10" s="5">
        <v>22727.006999999998</v>
      </c>
      <c r="L10" s="5">
        <v>487.85015862000097</v>
      </c>
      <c r="M10" s="5">
        <v>24.072340853</v>
      </c>
      <c r="N10" s="5">
        <v>1.978718022</v>
      </c>
      <c r="O10" s="5">
        <v>513.90121749500099</v>
      </c>
      <c r="P10" s="5">
        <v>775.77636406099998</v>
      </c>
      <c r="Q10" s="5">
        <f t="shared" si="1"/>
        <v>66.243474447307662</v>
      </c>
    </row>
    <row r="11" spans="1:17" x14ac:dyDescent="0.25">
      <c r="A11" s="10">
        <v>44805</v>
      </c>
      <c r="B11" s="3">
        <v>42458</v>
      </c>
      <c r="C11" s="3">
        <v>72430.883333333302</v>
      </c>
      <c r="D11" s="3">
        <v>36366.28</v>
      </c>
      <c r="E11" s="3">
        <v>5972449</v>
      </c>
      <c r="F11" s="3">
        <v>5535.0259999999998</v>
      </c>
      <c r="G11" s="3">
        <v>6800.0110000000004</v>
      </c>
      <c r="H11" s="6">
        <f t="shared" si="0"/>
        <v>81.397309504352265</v>
      </c>
      <c r="I11" s="6">
        <v>21436.316000000006</v>
      </c>
      <c r="J11" s="6">
        <v>2141.7920000000008</v>
      </c>
      <c r="K11" s="6">
        <v>23578.108000000007</v>
      </c>
      <c r="L11" s="6">
        <v>498.05399999999997</v>
      </c>
      <c r="M11" s="6">
        <v>25.060635294999955</v>
      </c>
      <c r="N11" s="6">
        <v>1.9493628989999987</v>
      </c>
      <c r="O11" s="6">
        <v>525.06399819399996</v>
      </c>
      <c r="P11" s="6">
        <v>760.4407218500005</v>
      </c>
      <c r="Q11" s="6">
        <f t="shared" si="1"/>
        <v>69.047327833341711</v>
      </c>
    </row>
    <row r="12" spans="1:17" x14ac:dyDescent="0.25">
      <c r="A12" s="9">
        <v>44835</v>
      </c>
      <c r="B12" s="2">
        <v>45536</v>
      </c>
      <c r="C12" s="2">
        <v>77994.100000000006</v>
      </c>
      <c r="D12" s="2">
        <v>39781.379999999997</v>
      </c>
      <c r="E12" s="2">
        <v>6471441</v>
      </c>
      <c r="F12" s="2">
        <v>6126.04</v>
      </c>
      <c r="G12" s="2">
        <v>7464.3280000000004</v>
      </c>
      <c r="H12" s="5">
        <f t="shared" si="0"/>
        <v>82.070884344846576</v>
      </c>
      <c r="I12" s="5">
        <v>19173.945000000022</v>
      </c>
      <c r="J12" s="5">
        <v>1847.8089999999986</v>
      </c>
      <c r="K12" s="5">
        <v>21021.754000000019</v>
      </c>
      <c r="L12" s="5">
        <v>551.30248314000039</v>
      </c>
      <c r="M12" s="5">
        <v>22.293721328999965</v>
      </c>
      <c r="N12" s="5">
        <v>1.6821687259999991</v>
      </c>
      <c r="O12" s="5">
        <v>575.27837319500031</v>
      </c>
      <c r="P12" s="5">
        <v>834.99297938500138</v>
      </c>
      <c r="Q12" s="5">
        <f t="shared" si="1"/>
        <v>68.896192830113492</v>
      </c>
    </row>
    <row r="13" spans="1:17" x14ac:dyDescent="0.25">
      <c r="A13" s="10">
        <v>44866</v>
      </c>
      <c r="B13" s="3">
        <v>43379</v>
      </c>
      <c r="C13" s="3">
        <v>74632.53</v>
      </c>
      <c r="D13" s="3">
        <v>37649.46</v>
      </c>
      <c r="E13" s="3">
        <v>6500903</v>
      </c>
      <c r="F13" s="3">
        <v>6114.3190000000004</v>
      </c>
      <c r="G13" s="3">
        <v>7039.9070000000002</v>
      </c>
      <c r="H13" s="6">
        <f t="shared" si="0"/>
        <v>86.852269497310118</v>
      </c>
      <c r="I13" s="6">
        <v>18682.534</v>
      </c>
      <c r="J13" s="6">
        <v>2030.1849999999999</v>
      </c>
      <c r="K13" s="6">
        <v>20712.719000000001</v>
      </c>
      <c r="L13" s="6">
        <v>550.28156291999937</v>
      </c>
      <c r="M13" s="6">
        <v>21.895682170999976</v>
      </c>
      <c r="N13" s="6">
        <v>1.8371046209999995</v>
      </c>
      <c r="O13" s="6">
        <v>574.01434971199933</v>
      </c>
      <c r="P13" s="6">
        <v>786.77569889399888</v>
      </c>
      <c r="Q13" s="6">
        <f t="shared" si="1"/>
        <v>72.957813836766121</v>
      </c>
    </row>
    <row r="14" spans="1:17" x14ac:dyDescent="0.25">
      <c r="A14" s="9">
        <v>44896</v>
      </c>
      <c r="B14" s="2">
        <v>46194</v>
      </c>
      <c r="C14" s="2">
        <v>80042.8</v>
      </c>
      <c r="D14" s="2">
        <v>40290.74</v>
      </c>
      <c r="E14" s="2">
        <v>6997472</v>
      </c>
      <c r="F14" s="2">
        <v>6606.991</v>
      </c>
      <c r="G14" s="2">
        <v>7553.7110000000002</v>
      </c>
      <c r="H14" s="5">
        <f t="shared" si="0"/>
        <v>87.466822598852403</v>
      </c>
      <c r="I14" s="5">
        <v>18031.8</v>
      </c>
      <c r="J14" s="5">
        <v>2098.9520000000002</v>
      </c>
      <c r="K14" s="5">
        <v>20130.752</v>
      </c>
      <c r="L14" s="5">
        <v>594.47233143000051</v>
      </c>
      <c r="M14" s="5">
        <v>21.188431890000029</v>
      </c>
      <c r="N14" s="5">
        <v>1.913173059000004</v>
      </c>
      <c r="O14" s="5">
        <v>617.57393637900054</v>
      </c>
      <c r="P14" s="5">
        <v>844.15111979300161</v>
      </c>
      <c r="Q14" s="5">
        <f t="shared" si="1"/>
        <v>73.159168056359249</v>
      </c>
    </row>
    <row r="15" spans="1:17" x14ac:dyDescent="0.25">
      <c r="A15" s="10">
        <v>44927</v>
      </c>
      <c r="B15" s="3">
        <v>47977</v>
      </c>
      <c r="C15" s="3">
        <v>83764.166666666672</v>
      </c>
      <c r="D15" s="3">
        <v>41826.54</v>
      </c>
      <c r="E15" s="3">
        <v>6847384</v>
      </c>
      <c r="F15" s="3">
        <v>6423.4470000000001</v>
      </c>
      <c r="G15" s="3">
        <v>7832.2539999999999</v>
      </c>
      <c r="H15" s="6">
        <f t="shared" si="0"/>
        <v>82.01275137399783</v>
      </c>
      <c r="I15" s="6">
        <v>16881.651000000002</v>
      </c>
      <c r="J15" s="6">
        <v>2043.5059999999996</v>
      </c>
      <c r="K15" s="6">
        <v>18925.157000000003</v>
      </c>
      <c r="L15" s="6">
        <v>578.00177864999989</v>
      </c>
      <c r="M15" s="6">
        <v>19.808250427999958</v>
      </c>
      <c r="N15" s="6">
        <v>1.8678550419999984</v>
      </c>
      <c r="O15" s="6">
        <v>599.67788411999982</v>
      </c>
      <c r="P15" s="6">
        <v>875.40618365399985</v>
      </c>
      <c r="Q15" s="6">
        <f t="shared" si="1"/>
        <v>68.50281564346588</v>
      </c>
    </row>
    <row r="16" spans="1:17" x14ac:dyDescent="0.25">
      <c r="A16" s="9">
        <v>44958</v>
      </c>
      <c r="B16" s="2">
        <v>44905</v>
      </c>
      <c r="C16" s="2">
        <v>77935.816666666666</v>
      </c>
      <c r="D16" s="2">
        <v>39121.08</v>
      </c>
      <c r="E16" s="2">
        <v>6741948</v>
      </c>
      <c r="F16" s="2">
        <v>6347.8140000000003</v>
      </c>
      <c r="G16" s="2">
        <v>7336.6139999999996</v>
      </c>
      <c r="H16" s="5">
        <f t="shared" si="0"/>
        <v>86.522393027628283</v>
      </c>
      <c r="I16" s="5">
        <v>17439.29</v>
      </c>
      <c r="J16" s="5">
        <v>2086.69</v>
      </c>
      <c r="K16" s="5">
        <v>19525.98</v>
      </c>
      <c r="L16" s="5">
        <v>571.24980000000005</v>
      </c>
      <c r="M16" s="5">
        <v>20.53782</v>
      </c>
      <c r="N16" s="5">
        <v>1.9325619999999999</v>
      </c>
      <c r="O16" s="5">
        <v>593.72018200000002</v>
      </c>
      <c r="P16" s="5">
        <v>820.56359999999995</v>
      </c>
      <c r="Q16" s="5">
        <f t="shared" si="1"/>
        <v>72.355169300709903</v>
      </c>
    </row>
    <row r="17" spans="1:18" x14ac:dyDescent="0.25">
      <c r="A17" s="10">
        <v>44986</v>
      </c>
      <c r="B17" s="3">
        <v>50389</v>
      </c>
      <c r="C17" s="3">
        <v>87295.8</v>
      </c>
      <c r="D17" s="3">
        <v>43792.726999999999</v>
      </c>
      <c r="E17" s="3">
        <v>7317288</v>
      </c>
      <c r="F17" s="3">
        <v>6903.0320000000002</v>
      </c>
      <c r="G17" s="3">
        <v>8215.6810000000005</v>
      </c>
      <c r="H17" s="6">
        <f t="shared" si="0"/>
        <v>84.022639145799346</v>
      </c>
      <c r="I17" s="6">
        <v>20208.400000000001</v>
      </c>
      <c r="J17" s="6">
        <v>2310.0801199999987</v>
      </c>
      <c r="K17" s="6">
        <v>22518.48012</v>
      </c>
      <c r="L17" s="6">
        <v>621.21701440000004</v>
      </c>
      <c r="M17" s="6">
        <v>23.377940120879952</v>
      </c>
      <c r="N17" s="6">
        <v>2.1002345364999999</v>
      </c>
      <c r="O17" s="6">
        <v>646.69518905738005</v>
      </c>
      <c r="P17" s="6">
        <v>919.50462062600104</v>
      </c>
      <c r="Q17" s="6">
        <f t="shared" si="1"/>
        <v>70.330825376071331</v>
      </c>
    </row>
    <row r="18" spans="1:18" x14ac:dyDescent="0.25">
      <c r="A18" s="1" t="s">
        <v>23</v>
      </c>
      <c r="B18" s="4">
        <f>SUM(B6:B17)</f>
        <v>540620</v>
      </c>
      <c r="C18" s="4">
        <f>SUM(C6:C17)</f>
        <v>931196.55666666676</v>
      </c>
      <c r="D18" s="4">
        <f t="shared" ref="D18:F18" si="2">SUM(D6:D17)</f>
        <v>469480.777</v>
      </c>
      <c r="E18" s="4">
        <f t="shared" si="2"/>
        <v>76708825</v>
      </c>
      <c r="F18" s="4">
        <f t="shared" si="2"/>
        <v>72307.245999999999</v>
      </c>
      <c r="G18" s="4">
        <f>SUM(G6:G17)</f>
        <v>87895.942999999999</v>
      </c>
      <c r="H18" s="7">
        <f t="shared" ref="H6:H18" si="3">F18/G18*100</f>
        <v>82.264600085125664</v>
      </c>
      <c r="I18" s="7">
        <f t="shared" ref="I18:O18" si="4">SUM(I6:I17)</f>
        <v>237793.06099999999</v>
      </c>
      <c r="J18" s="7">
        <f t="shared" si="4"/>
        <v>24282.385119999999</v>
      </c>
      <c r="K18" s="7">
        <f t="shared" si="4"/>
        <v>262075.44612000004</v>
      </c>
      <c r="L18" s="7">
        <f t="shared" si="4"/>
        <v>6506.7414594700012</v>
      </c>
      <c r="M18" s="7">
        <f t="shared" si="4"/>
        <v>280.36405179487974</v>
      </c>
      <c r="N18" s="7">
        <f t="shared" si="4"/>
        <v>22.409168769500003</v>
      </c>
      <c r="O18" s="7">
        <f t="shared" si="4"/>
        <v>6809.51468003438</v>
      </c>
      <c r="P18" s="7">
        <f>SUM(P6:P17)</f>
        <v>9863.7731844370028</v>
      </c>
      <c r="Q18" s="7">
        <f t="shared" ref="Q7:Q18" si="5">O18/P18*100</f>
        <v>69.03559675093085</v>
      </c>
    </row>
    <row r="19" spans="1:18" x14ac:dyDescent="0.25">
      <c r="A19" s="15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  <row r="20" spans="1:18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4" spans="1:18" x14ac:dyDescent="0.2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5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5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5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25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25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2:18" x14ac:dyDescent="0.25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2:18" x14ac:dyDescent="0.25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2:18" x14ac:dyDescent="0.2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2:18" x14ac:dyDescent="0.25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2:18" x14ac:dyDescent="0.25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2022-04-26T05:37:57Z</cp:lastPrinted>
  <dcterms:created xsi:type="dcterms:W3CDTF">2018-10-29T04:00:07Z</dcterms:created>
  <dcterms:modified xsi:type="dcterms:W3CDTF">2023-09-22T10:24:35Z</dcterms:modified>
</cp:coreProperties>
</file>