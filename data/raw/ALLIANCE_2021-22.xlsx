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 2020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<sst xmlns="http://schemas.openxmlformats.org/spreadsheetml/2006/main" count="153" uniqueCount="42">
  <si>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</si>
  <si>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ALLIANCE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</si>
  <si>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</si>
  <si>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</si>
  <si>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</si>
  <si>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</si>
  <si>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</si>
  <si>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</si>
  <si>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</si>
  <si>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</si>
  <si>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</si>
  <si>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</si>
  <si>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</si>
  <si>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</si>
  <si>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</si>
  <si>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</si>
  <si>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</si>
  <si>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</si>
  <si>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</si>
  <si>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</si>
  <si>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</si>
  <si>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</si>
  <si>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</si>
  <si>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</si>
  <si>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</si>
  <si>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</si>
  <si>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</si>
  <si>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</si>
  <si>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</si>
  <si>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</si>
  <si>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</si>
  <si>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</si>
  <si>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</si>
  <si>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</si>
  <si>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</si>
  <si>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ALLIANCE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</si>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</sst>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Interface"/>
      <sheetName val="Data"/>
      <sheetName val="Sheet2"/>
      <sheetName val="Sheet4"/>
      <sheetName val="Sheet3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2021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1652</v>
      </c>
      <c r="C4" s="12">
        <v>3167</v>
      </c>
      <c r="D4" s="13">
        <v>1351</v>
      </c>
      <c r="E4" s="14">
        <v>92039</v>
      </c>
      <c r="F4" s="12">
        <v>36600</v>
      </c>
      <c r="G4" s="12">
        <v>59562</v>
      </c>
      <c r="H4" s="15">
        <f>IFERROR(F4/G4*100," ")</f>
        <v>61.44857459454014</v>
      </c>
      <c r="I4" s="16">
        <v>19</v>
      </c>
      <c r="J4" s="17"/>
      <c r="K4" s="15">
        <f>IF(AND(ISBLANK(I4),ISBLANK(J4))=TRUE,"",I4+J4)</f>
        <v>19</v>
      </c>
      <c r="L4" s="16">
        <v>3331</v>
      </c>
      <c r="M4" s="17">
        <v>12</v>
      </c>
      <c r="N4" s="17"/>
      <c r="O4" s="15">
        <f>IF(AND(ISBLANK(L4),ISBLANK(M4),ISBLANK(N4))=TRUE,"",L4+M4+N4)</f>
        <v>3343</v>
      </c>
      <c r="P4" s="17">
        <v>5536</v>
      </c>
      <c r="Q4" s="15">
        <f>IFERROR(O4/P4*100," ")</f>
        <v>60.38656069364162</v>
      </c>
    </row>
    <row r="5" spans="1:17" ht="23.1" customHeight="1" x14ac:dyDescent="0.3">
      <c r="A5" s="18" t="s">
        <v>23</v>
      </c>
      <c r="B5" s="19">
        <v>1660</v>
      </c>
      <c r="C5" s="19">
        <v>3086</v>
      </c>
      <c r="D5" s="18">
        <v>1240</v>
      </c>
      <c r="E5" s="20">
        <v>95469</v>
      </c>
      <c r="F5" s="19">
        <v>37382</v>
      </c>
      <c r="G5" s="19">
        <v>57272</v>
      </c>
      <c r="H5" s="21">
        <f t="shared" ref="H5:H16" si="0">IFERROR(F5/G5*100," ")</f>
        <v>65.270987568096103</v>
      </c>
      <c r="I5" s="22">
        <v>18</v>
      </c>
      <c r="J5" s="23"/>
      <c r="K5" s="21">
        <f t="shared" ref="K5:K16" si="1">IF(AND(ISBLANK(I5),ISBLANK(J5))=TRUE,"",I5+J5)</f>
        <v>18</v>
      </c>
      <c r="L5" s="22">
        <v>3402</v>
      </c>
      <c r="M5" s="23">
        <v>10</v>
      </c>
      <c r="N5" s="23">
        <v>0</v>
      </c>
      <c r="O5" s="21">
        <f t="shared" ref="O5:O16" si="2">IF(AND(ISBLANK(L5),ISBLANK(M5),ISBLANK(N5))=TRUE,"",L5+M5+N5)</f>
        <v>3412</v>
      </c>
      <c r="P5" s="23">
        <v>5335</v>
      </c>
      <c r="Q5" s="21">
        <f t="shared" ref="Q5:Q16" si="3">IFERROR(O5/P5*100," ")</f>
        <v>63.95501405810684</v>
      </c>
    </row>
    <row r="6" spans="1:17" ht="23.1" customHeight="1" x14ac:dyDescent="0.3">
      <c r="A6" s="24" t="s">
        <v>24</v>
      </c>
      <c r="B6" s="25">
        <v>1809</v>
      </c>
      <c r="C6" s="25">
        <v>3472</v>
      </c>
      <c r="D6" s="24">
        <v>1515</v>
      </c>
      <c r="E6" s="26">
        <v>95563</v>
      </c>
      <c r="F6" s="25">
        <v>38098</v>
      </c>
      <c r="G6" s="25">
        <v>65795</v>
      </c>
      <c r="H6" s="27">
        <f t="shared" si="0"/>
        <v>57.904096055931298</v>
      </c>
      <c r="I6" s="28">
        <v>24</v>
      </c>
      <c r="J6" s="29"/>
      <c r="K6" s="27">
        <f t="shared" si="1"/>
        <v>24</v>
      </c>
      <c r="L6" s="28">
        <v>3467</v>
      </c>
      <c r="M6" s="29">
        <v>14</v>
      </c>
      <c r="N6" s="29"/>
      <c r="O6" s="27">
        <f t="shared" si="2"/>
        <v>3481</v>
      </c>
      <c r="P6" s="29">
        <v>6117</v>
      </c>
      <c r="Q6" s="27">
        <f t="shared" si="3"/>
        <v>56.906980546019291</v>
      </c>
    </row>
    <row r="7" spans="1:17" ht="23.1" customHeight="1" x14ac:dyDescent="0.3">
      <c r="A7" s="18" t="s">
        <v>25</v>
      </c>
      <c r="B7" s="19">
        <v>1530</v>
      </c>
      <c r="C7" s="19">
        <v>2956</v>
      </c>
      <c r="D7" s="18">
        <v>1407</v>
      </c>
      <c r="E7" s="20">
        <v>63147</v>
      </c>
      <c r="F7" s="19">
        <v>25269</v>
      </c>
      <c r="G7" s="19">
        <v>57532</v>
      </c>
      <c r="H7" s="21">
        <f t="shared" si="0"/>
        <v>43.921643607036081</v>
      </c>
      <c r="I7" s="22">
        <v>39</v>
      </c>
      <c r="J7" s="23"/>
      <c r="K7" s="21">
        <f t="shared" si="1"/>
        <v>39</v>
      </c>
      <c r="L7" s="22">
        <v>2299</v>
      </c>
      <c r="M7" s="23">
        <v>22</v>
      </c>
      <c r="N7" s="23"/>
      <c r="O7" s="21">
        <f t="shared" si="2"/>
        <v>2321</v>
      </c>
      <c r="P7" s="23">
        <v>5354</v>
      </c>
      <c r="Q7" s="21">
        <f t="shared" si="3"/>
        <v>43.350765782592454</v>
      </c>
    </row>
    <row r="8" spans="1:17" s="30" customFormat="1" ht="30" customHeight="1" x14ac:dyDescent="0.25">
      <c r="A8" s="24" t="s">
        <v>26</v>
      </c>
      <c r="B8" s="25">
        <v>1042</v>
      </c>
      <c r="C8" s="25">
        <v>2024</v>
      </c>
      <c r="D8" s="24">
        <v>1019</v>
      </c>
      <c r="E8" s="26">
        <v>29756</v>
      </c>
      <c r="F8" s="25">
        <v>12178</v>
      </c>
      <c r="G8" s="25">
        <v>39320</v>
      </c>
      <c r="H8" s="27">
        <f t="shared" si="0"/>
        <v>30.971515768056967</v>
      </c>
      <c r="I8" s="28">
        <v>44</v>
      </c>
      <c r="J8" s="29"/>
      <c r="K8" s="27">
        <f t="shared" si="1"/>
        <v>44</v>
      </c>
      <c r="L8" s="28">
        <v>1108</v>
      </c>
      <c r="M8" s="29">
        <v>22</v>
      </c>
      <c r="N8" s="29">
        <v>0</v>
      </c>
      <c r="O8" s="27">
        <f t="shared" si="2"/>
        <v>1130</v>
      </c>
      <c r="P8" s="29">
        <v>3660</v>
      </c>
      <c r="Q8" s="27">
        <f t="shared" si="3"/>
        <v>30.874316939890711</v>
      </c>
    </row>
    <row r="9" spans="1:17" ht="23.1" customHeight="1" x14ac:dyDescent="0.3">
      <c r="A9" s="18" t="s">
        <v>27</v>
      </c>
      <c r="B9" s="19">
        <v>1217</v>
      </c>
      <c r="C9" s="19">
        <v>2420</v>
      </c>
      <c r="D9" s="18">
        <v>1231</v>
      </c>
      <c r="E9" s="20">
        <v>52874</v>
      </c>
      <c r="F9" s="19">
        <v>22051</v>
      </c>
      <c r="G9" s="19">
        <v>46841</v>
      </c>
      <c r="H9" s="21">
        <f t="shared" si="0"/>
        <v>47.076279327939197</v>
      </c>
      <c r="I9" s="22">
        <v>47</v>
      </c>
      <c r="J9" s="23"/>
      <c r="K9" s="21">
        <f t="shared" si="1"/>
        <v>47</v>
      </c>
      <c r="L9" s="22">
        <v>2007</v>
      </c>
      <c r="M9" s="23">
        <v>26</v>
      </c>
      <c r="N9" s="23"/>
      <c r="O9" s="21">
        <f t="shared" si="2"/>
        <v>2033</v>
      </c>
      <c r="P9" s="23">
        <v>4336</v>
      </c>
      <c r="Q9" s="21">
        <f t="shared" si="3"/>
        <v>46.886531365313658</v>
      </c>
    </row>
    <row r="10" spans="1:17" ht="23.1" customHeight="1" x14ac:dyDescent="0.3">
      <c r="A10" s="24" t="s">
        <v>28</v>
      </c>
      <c r="B10" s="25">
        <v>2185</v>
      </c>
      <c r="C10" s="25">
        <v>2845</v>
      </c>
      <c r="D10" s="24">
        <v>1577</v>
      </c>
      <c r="E10" s="26">
        <v>70363</v>
      </c>
      <c r="F10" s="25">
        <v>29715</v>
      </c>
      <c r="G10" s="25">
        <v>54547</v>
      </c>
      <c r="H10" s="27">
        <f t="shared" si="0"/>
        <v>54.475956514565418</v>
      </c>
      <c r="I10" s="28">
        <v>59</v>
      </c>
      <c r="J10" s="29"/>
      <c r="K10" s="27">
        <f t="shared" si="1"/>
        <v>59</v>
      </c>
      <c r="L10" s="28">
        <v>2704</v>
      </c>
      <c r="M10" s="29">
        <v>30</v>
      </c>
      <c r="N10" s="29">
        <v>0</v>
      </c>
      <c r="O10" s="27">
        <f t="shared" si="2"/>
        <v>2734</v>
      </c>
      <c r="P10" s="29">
        <v>5064</v>
      </c>
      <c r="Q10" s="27">
        <f t="shared" si="3"/>
        <v>53.988941548183256</v>
      </c>
    </row>
    <row r="11" spans="1:17" ht="23.1" customHeight="1" x14ac:dyDescent="0.3">
      <c r="A11" s="18" t="s">
        <v>29</v>
      </c>
      <c r="B11" s="19">
        <v>2336</v>
      </c>
      <c r="C11" s="19">
        <v>3081</v>
      </c>
      <c r="D11" s="18">
        <v>1712</v>
      </c>
      <c r="E11" s="20">
        <v>80491</v>
      </c>
      <c r="F11" s="19">
        <v>33347</v>
      </c>
      <c r="G11" s="19">
        <v>58161</v>
      </c>
      <c r="H11" s="21">
        <f t="shared" si="0"/>
        <v>57.33567167001943</v>
      </c>
      <c r="I11" s="22">
        <v>54.5</v>
      </c>
      <c r="J11" s="23"/>
      <c r="K11" s="21">
        <f t="shared" si="1"/>
        <v>54.5</v>
      </c>
      <c r="L11" s="22">
        <v>3035</v>
      </c>
      <c r="M11" s="23">
        <v>26</v>
      </c>
      <c r="N11" s="23"/>
      <c r="O11" s="21">
        <f t="shared" si="2"/>
        <v>3061</v>
      </c>
      <c r="P11" s="23">
        <v>5401</v>
      </c>
      <c r="Q11" s="21">
        <f t="shared" si="3"/>
        <v>56.674689872245878</v>
      </c>
    </row>
    <row r="12" spans="1:17" ht="23.1" customHeight="1" x14ac:dyDescent="0.3">
      <c r="A12" s="24" t="s">
        <v>30</v>
      </c>
      <c r="B12" s="25">
        <v>2499</v>
      </c>
      <c r="C12" s="25">
        <v>3277</v>
      </c>
      <c r="D12" s="24">
        <v>1811</v>
      </c>
      <c r="E12" s="26">
        <v>91031</v>
      </c>
      <c r="F12" s="25">
        <v>38186</v>
      </c>
      <c r="G12" s="25">
        <v>63455</v>
      </c>
      <c r="H12" s="27">
        <f t="shared" si="0"/>
        <v>60.17807895358915</v>
      </c>
      <c r="I12" s="28">
        <v>50.63</v>
      </c>
      <c r="J12" s="29"/>
      <c r="K12" s="27">
        <f t="shared" si="1"/>
        <v>50.63</v>
      </c>
      <c r="L12" s="28">
        <v>3475</v>
      </c>
      <c r="M12" s="29">
        <v>25</v>
      </c>
      <c r="N12" s="29">
        <v>0</v>
      </c>
      <c r="O12" s="27">
        <f t="shared" si="2"/>
        <v>3500</v>
      </c>
      <c r="P12" s="29">
        <v>5883</v>
      </c>
      <c r="Q12" s="27">
        <f t="shared" si="3"/>
        <v>59.493455719870816</v>
      </c>
    </row>
    <row r="13" spans="1:17" ht="23.1" customHeight="1" x14ac:dyDescent="0.3">
      <c r="A13" s="18" t="s">
        <v>31</v>
      </c>
      <c r="B13" s="19">
        <v>2572</v>
      </c>
      <c r="C13" s="19">
        <v>3515</v>
      </c>
      <c r="D13" s="18">
        <v>1824</v>
      </c>
      <c r="E13" s="20">
        <v>107718</v>
      </c>
      <c r="F13" s="19">
        <v>48771</v>
      </c>
      <c r="G13" s="19">
        <v>70954</v>
      </c>
      <c r="H13" s="21">
        <f t="shared" si="0"/>
        <v>68.736082532344895</v>
      </c>
      <c r="I13" s="22">
        <v>32.33</v>
      </c>
      <c r="J13" s="23"/>
      <c r="K13" s="21">
        <f t="shared" si="1"/>
        <v>32.33</v>
      </c>
      <c r="L13" s="22">
        <v>4438</v>
      </c>
      <c r="M13" s="23">
        <v>16</v>
      </c>
      <c r="N13" s="23">
        <v>0</v>
      </c>
      <c r="O13" s="21">
        <f t="shared" si="2"/>
        <v>4454</v>
      </c>
      <c r="P13" s="23">
        <v>6576</v>
      </c>
      <c r="Q13" s="21">
        <f t="shared" si="3"/>
        <v>67.731143552311437</v>
      </c>
    </row>
    <row r="14" spans="1:17" ht="23.1" customHeight="1" x14ac:dyDescent="0.3">
      <c r="A14" s="24" t="s">
        <v>32</v>
      </c>
      <c r="B14" s="25">
        <v>2907</v>
      </c>
      <c r="C14" s="25">
        <v>3811</v>
      </c>
      <c r="D14" s="24">
        <v>2218</v>
      </c>
      <c r="E14" s="26">
        <v>120306</v>
      </c>
      <c r="F14" s="25">
        <v>54410</v>
      </c>
      <c r="G14" s="25">
        <v>79476</v>
      </c>
      <c r="H14" s="27">
        <f t="shared" si="0"/>
        <v>68.460919019578242</v>
      </c>
      <c r="I14" s="28">
        <v>34.56</v>
      </c>
      <c r="J14" s="29"/>
      <c r="K14" s="27">
        <f t="shared" si="1"/>
        <v>34.56</v>
      </c>
      <c r="L14" s="28">
        <v>4951</v>
      </c>
      <c r="M14" s="29">
        <v>18</v>
      </c>
      <c r="N14" s="29"/>
      <c r="O14" s="27">
        <f t="shared" si="2"/>
        <v>4969</v>
      </c>
      <c r="P14" s="29">
        <v>7124</v>
      </c>
      <c r="Q14" s="27">
        <f t="shared" si="3"/>
        <v>69.750140370578322</v>
      </c>
    </row>
    <row r="15" spans="1:17" ht="23.1" customHeight="1" x14ac:dyDescent="0.3">
      <c r="A15" s="31" t="s">
        <v>33</v>
      </c>
      <c r="B15" s="32">
        <v>3085</v>
      </c>
      <c r="C15" s="32">
        <v>3958</v>
      </c>
      <c r="D15" s="33">
        <v>2263</v>
      </c>
      <c r="E15" s="34">
        <v>125358</v>
      </c>
      <c r="F15" s="32">
        <v>56284</v>
      </c>
      <c r="G15" s="32">
        <v>84022</v>
      </c>
      <c r="H15" s="35">
        <f t="shared" si="0"/>
        <v>66.987217633476945</v>
      </c>
      <c r="I15" s="36">
        <v>29.42</v>
      </c>
      <c r="J15" s="37"/>
      <c r="K15" s="35">
        <f t="shared" si="1"/>
        <v>29.42</v>
      </c>
      <c r="L15" s="36">
        <v>5122</v>
      </c>
      <c r="M15" s="37">
        <v>16</v>
      </c>
      <c r="N15" s="37"/>
      <c r="O15" s="35">
        <f t="shared" si="2"/>
        <v>5138</v>
      </c>
      <c r="P15" s="23">
        <v>7793</v>
      </c>
      <c r="Q15" s="21">
        <f t="shared" si="3"/>
        <v>65.930963685358662</v>
      </c>
    </row>
    <row r="16" spans="1:17" ht="23.1" customHeight="1" x14ac:dyDescent="0.3">
      <c r="A16" s="38" t="s">
        <v>34</v>
      </c>
      <c r="B16" s="39">
        <f t="shared" ref="B16:G16" si="4">SUM(B4:B15)</f>
        <v>24494</v>
      </c>
      <c r="C16" s="39">
        <f t="shared" si="4"/>
        <v>37612</v>
      </c>
      <c r="D16" s="39">
        <f t="shared" si="4"/>
        <v>19168</v>
      </c>
      <c r="E16" s="39">
        <f t="shared" si="4"/>
        <v>1024115</v>
      </c>
      <c r="F16" s="39">
        <f t="shared" si="4"/>
        <v>432291</v>
      </c>
      <c r="G16" s="39">
        <f t="shared" si="4"/>
        <v>736937</v>
      </c>
      <c r="H16" s="40">
        <f t="shared" si="0"/>
        <v>58.660509650078637</v>
      </c>
      <c r="I16" s="40">
        <f>SUM(I4:I15)</f>
        <v>451.44</v>
      </c>
      <c r="J16" s="40">
        <f>SUM(J4:J15)</f>
        <v>0</v>
      </c>
      <c r="K16" s="40">
        <f t="shared" si="1"/>
        <v>451.44</v>
      </c>
      <c r="L16" s="40">
        <f>SUM(L4:L15)</f>
        <v>39339</v>
      </c>
      <c r="M16" s="40">
        <f>SUM(M4:M15)</f>
        <v>237</v>
      </c>
      <c r="N16" s="40">
        <f>SUM(N4:N15)</f>
        <v>0</v>
      </c>
      <c r="O16" s="40">
        <f t="shared" si="2"/>
        <v>39576</v>
      </c>
      <c r="P16" s="41">
        <f>SUM(P4:P15)</f>
        <v>68179</v>
      </c>
      <c r="Q16" s="41">
        <f t="shared" si="3"/>
        <v>58.047199284237081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2021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5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5"/>
        <v xml:space="preserve"> </v>
      </c>
      <c r="I24" s="68"/>
      <c r="J24" s="68"/>
      <c r="K24" s="68" t="str">
        <f t="shared" ref="K24:K35" si="6">IF(AND(ISBLANK(I24),ISBLANK(J24))=TRUE,"",I24+J24)</f>
        <v/>
      </c>
      <c r="L24" s="69"/>
      <c r="M24" s="68"/>
      <c r="N24" s="68"/>
      <c r="O24" s="67" t="str">
        <f t="shared" ref="O24:O35" si="7">IF(AND(ISBLANK(L24),ISBLANK(M24),ISBLANK(N24))=TRUE,"",L24+M24+N24)</f>
        <v/>
      </c>
      <c r="P24" s="69"/>
      <c r="Q24" s="67" t="str">
        <f t="shared" ref="Q24:Q35" si="8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5"/>
        <v xml:space="preserve"> </v>
      </c>
      <c r="I25" s="72"/>
      <c r="J25" s="72"/>
      <c r="K25" s="72" t="str">
        <f t="shared" si="6"/>
        <v/>
      </c>
      <c r="L25" s="73"/>
      <c r="M25" s="72"/>
      <c r="N25" s="72"/>
      <c r="O25" s="60" t="str">
        <f t="shared" si="7"/>
        <v/>
      </c>
      <c r="P25" s="73"/>
      <c r="Q25" s="60" t="str">
        <f t="shared" si="8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0</v>
      </c>
      <c r="C35" s="81">
        <f t="shared" si="9"/>
        <v>0</v>
      </c>
      <c r="D35" s="81">
        <f t="shared" si="9"/>
        <v>0</v>
      </c>
      <c r="E35" s="81">
        <f t="shared" si="9"/>
        <v>0</v>
      </c>
      <c r="F35" s="81">
        <f t="shared" si="9"/>
        <v>0</v>
      </c>
      <c r="G35" s="81">
        <f t="shared" si="9"/>
        <v>0</v>
      </c>
      <c r="H35" s="82" t="str">
        <f t="shared" si="5"/>
        <v xml:space="preserve"> 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0</v>
      </c>
      <c r="M35" s="83">
        <f>SUM(M23:M34)</f>
        <v>0</v>
      </c>
      <c r="N35" s="83">
        <f>SUM(N23:N34)</f>
        <v>0</v>
      </c>
      <c r="O35" s="83">
        <f t="shared" si="7"/>
        <v>0</v>
      </c>
      <c r="P35" s="83">
        <f>SUM(P23:P34)</f>
        <v>0</v>
      </c>
      <c r="Q35" s="83" t="str">
        <f t="shared" si="8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2021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0</v>
      </c>
      <c r="C54" s="139">
        <f t="shared" si="14"/>
        <v>0</v>
      </c>
      <c r="D54" s="139">
        <f t="shared" si="14"/>
        <v>0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0</v>
      </c>
      <c r="M54" s="140">
        <f>SUM(M42:M53)</f>
        <v>0</v>
      </c>
      <c r="N54" s="140">
        <f>SUM(N42:N53)</f>
        <v>0</v>
      </c>
      <c r="O54" s="140">
        <f t="shared" si="12"/>
        <v>0</v>
      </c>
      <c r="P54" s="141">
        <f>SUM(P42:P53)</f>
        <v>0</v>
      </c>
      <c r="Q54" s="140" t="str">
        <f t="shared" si="13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2021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2022-02-17T11:33:52Z</dcterms:created>
  <dcterms:modified xsi:type="dcterms:W3CDTF">2022-02-17T11:34:04Z</dcterms:modified>
</cp:coreProperties>
</file>