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xWindow="0" yWindow="0" windowWidth="24000" windowHeight="9435"/>
  </bookViews>
  <sheets>
    <sheet name="ALLIANCE AIR" sheetId="1" r:id="rId1"/>
  </sheets>
  <definedNames>
    <definedName name="_xlnm.Print_Area" localSheetId="0">'ALLIANCE AIR'!$A$1:$Q$19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H7" i="1"/>
  <c r="H8" i="1"/>
  <c r="H9" i="1"/>
  <c r="H10" i="1"/>
  <c r="H11" i="1"/>
  <c r="H12" i="1"/>
  <c r="H13" i="1"/>
  <c r="H14" i="1"/>
  <c r="H15" i="1"/>
  <c r="H16" i="1"/>
  <c r="H17" i="1"/>
  <c r="I18" i="1" l="1"/>
  <c r="J18" i="1"/>
  <c r="K18" i="1"/>
  <c r="L18" i="1"/>
  <c r="M18" i="1"/>
  <c r="N18" i="1"/>
  <c r="O18" i="1"/>
  <c r="P18" i="1"/>
  <c r="C18" i="1"/>
  <c r="D18" i="1"/>
  <c r="E18" i="1"/>
  <c r="F18" i="1"/>
  <c r="G18" i="1"/>
  <c r="B18" i="1"/>
  <c r="H18" i="1" l="1"/>
  <c r="Q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<sst xmlns="http://schemas.openxmlformats.org/spreadsheetml/2006/main" count="26" uniqueCount="24">
  <si>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</si>
  <si>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</si>
  <si>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</si>
  <si>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</si>
  <si>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</si>
  <si>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</si>
  <si>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</si>
  <si>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</si>
  <si>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</si>
  <si>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</si>
  <si>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</si>
  <si>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</si>
  <si>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</si>
  <si>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</si>
  <si>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</si>
  <si>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</si>
  <si>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</si>
  <si>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</si>
  <si>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</si>
  <si>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(एलाइंस एयर) </t>
  </si>
  <si>
    <t>Table 1.01 (ALLIANCE AIR)</t>
  </si>
  <si>
    <t>SOURCE:-  ICAO ATR FORM 'A' FURNISHED BY ALLIANCE AIR</t>
  </si>
  <si>
    <t>MONTHLY TRAFFIC AND OPERATING STATISTICS OF ALLIANCE AIR ON SCHEDULED DOMESTIC SERVICES DURING 2020-21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</si>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</sst>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B1mmmm/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4" fontId="4" fillId="4" borderId="1" xfId="3" applyNumberFormat="1" applyFont="1" applyBorder="1" applyAlignment="1" applyProtection="1">
      <alignment horizontal="righ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8" fontId="3" fillId="4" borderId="1" xfId="3" applyNumberFormat="1" applyFont="1" applyBorder="1" applyAlignment="1" applyProtection="1">
      <alignment horizontal="center" vertical="center" wrapText="1"/>
    </xf>
    <xf numFmtId="168" fontId="3" fillId="5" borderId="1" xfId="3" applyNumberFormat="1" applyFont="1" applyFill="1" applyBorder="1" applyAlignment="1" applyProtection="1">
      <alignment horizontal="center" vertical="center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view="pageBreakPreview" zoomScaleNormal="100" zoomScaleSheetLayoutView="100" workbookViewId="0">
      <selection activeCell="A6" sqref="A6:A17"/>
    </sheetView>
  </sheetViews>
  <sheetFormatPr defaultColWidth="9.140625" defaultRowHeight="15" x14ac:dyDescent="0.25"/>
  <cols>
    <col min="1" max="1" width="13.5703125" style="1" customWidth="1"/>
    <col min="2" max="2" width="8.28515625" style="1" customWidth="1"/>
    <col min="3" max="3" width="7.85546875" style="1" customWidth="1"/>
    <col min="4" max="4" width="7.28515625" style="1" customWidth="1"/>
    <col min="5" max="5" width="10.28515625" style="1" customWidth="1"/>
    <col min="6" max="6" width="7" style="1" customWidth="1"/>
    <col min="7" max="7" width="8.42578125" style="1" customWidth="1"/>
    <col min="8" max="9" width="6.28515625" style="1" customWidth="1"/>
    <col min="10" max="10" width="6.5703125" style="1" customWidth="1"/>
    <col min="11" max="11" width="6.85546875" style="1" customWidth="1"/>
    <col min="12" max="12" width="7.85546875" style="1" customWidth="1"/>
    <col min="13" max="14" width="6.85546875" style="1" customWidth="1"/>
    <col min="15" max="15" width="7.7109375" style="1" customWidth="1"/>
    <col min="16" max="16" width="8.7109375" style="1" customWidth="1"/>
    <col min="17" max="17" width="8.140625" style="1" customWidth="1"/>
    <col min="18" max="16384" width="9.140625" style="1"/>
  </cols>
  <sheetData>
    <row r="1" spans="1:17" ht="20.100000000000001" customHeight="1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0.100000000000001" customHeight="1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0.100000000000001" customHeight="1" x14ac:dyDescent="0.25">
      <c r="A3" s="19" t="s">
        <v>22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0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4" t="s">
        <v>3</v>
      </c>
      <c r="H4" s="14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4" t="s">
        <v>7</v>
      </c>
      <c r="Q4" s="14" t="s">
        <v>8</v>
      </c>
    </row>
    <row r="5" spans="1:17" ht="114" customHeight="1" x14ac:dyDescent="0.25">
      <c r="A5" s="19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5"/>
      <c r="H5" s="1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5"/>
      <c r="Q5" s="15"/>
    </row>
    <row r="6" spans="1:17" ht="16.5" customHeight="1" x14ac:dyDescent="0.25">
      <c r="A6" s="21">
        <v>43922</v>
      </c>
      <c r="B6" s="3"/>
      <c r="C6" s="3"/>
      <c r="D6" s="3"/>
      <c r="E6" s="3"/>
      <c r="F6" s="3">
        <v>0</v>
      </c>
      <c r="G6" s="3">
        <v>0</v>
      </c>
      <c r="H6" s="6"/>
      <c r="I6" s="6"/>
      <c r="J6" s="6"/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/>
    </row>
    <row r="7" spans="1:17" ht="18" customHeight="1" x14ac:dyDescent="0.25">
      <c r="A7" s="22">
        <v>43952</v>
      </c>
      <c r="B7" s="4">
        <v>212</v>
      </c>
      <c r="C7" s="4">
        <v>281</v>
      </c>
      <c r="D7" s="4">
        <v>86</v>
      </c>
      <c r="E7" s="4">
        <v>3772</v>
      </c>
      <c r="F7" s="4">
        <v>1.548</v>
      </c>
      <c r="G7" s="4">
        <v>6.6760000000000002</v>
      </c>
      <c r="H7" s="7">
        <f t="shared" ref="H7:H17" si="0">F7/G7*100</f>
        <v>23.187537447573398</v>
      </c>
      <c r="I7" s="7">
        <v>85</v>
      </c>
      <c r="J7" s="7"/>
      <c r="K7" s="7">
        <v>85</v>
      </c>
      <c r="L7" s="7">
        <v>0.1406</v>
      </c>
      <c r="M7" s="7">
        <v>0</v>
      </c>
      <c r="N7" s="7">
        <v>0</v>
      </c>
      <c r="O7" s="7">
        <v>0.1406</v>
      </c>
      <c r="P7" s="7">
        <v>0.50290000000000001</v>
      </c>
      <c r="Q7" s="7">
        <f t="shared" ref="Q7:Q18" si="1">O7/P7*100</f>
        <v>27.957844501889046</v>
      </c>
    </row>
    <row r="8" spans="1:17" ht="12.75" customHeight="1" x14ac:dyDescent="0.25">
      <c r="A8" s="21">
        <v>43983</v>
      </c>
      <c r="B8" s="3">
        <v>1422</v>
      </c>
      <c r="C8" s="3">
        <v>2200</v>
      </c>
      <c r="D8" s="3">
        <v>752</v>
      </c>
      <c r="E8" s="3">
        <v>36092</v>
      </c>
      <c r="F8" s="3">
        <v>14.295</v>
      </c>
      <c r="G8" s="3">
        <v>42.942</v>
      </c>
      <c r="H8" s="6">
        <f t="shared" si="0"/>
        <v>33.289087606539056</v>
      </c>
      <c r="I8" s="6">
        <v>8</v>
      </c>
      <c r="J8" s="6"/>
      <c r="K8" s="6">
        <v>8</v>
      </c>
      <c r="L8" s="6">
        <v>1.3009999999999999</v>
      </c>
      <c r="M8" s="10">
        <v>4.0000000000000001E-3</v>
      </c>
      <c r="N8" s="6">
        <v>0</v>
      </c>
      <c r="O8" s="6">
        <v>1.3049999999999999</v>
      </c>
      <c r="P8" s="6">
        <v>3.968</v>
      </c>
      <c r="Q8" s="6">
        <f t="shared" si="1"/>
        <v>32.888104838709673</v>
      </c>
    </row>
    <row r="9" spans="1:17" ht="15.75" customHeight="1" x14ac:dyDescent="0.25">
      <c r="A9" s="22">
        <v>44013</v>
      </c>
      <c r="B9" s="4">
        <v>1540</v>
      </c>
      <c r="C9" s="4">
        <v>2504</v>
      </c>
      <c r="D9" s="4">
        <v>917</v>
      </c>
      <c r="E9" s="4">
        <v>41967</v>
      </c>
      <c r="F9" s="4">
        <v>16.366</v>
      </c>
      <c r="G9" s="4">
        <v>48.616</v>
      </c>
      <c r="H9" s="7">
        <f t="shared" si="0"/>
        <v>33.663814382096433</v>
      </c>
      <c r="I9" s="7">
        <v>23.6</v>
      </c>
      <c r="J9" s="7"/>
      <c r="K9" s="7">
        <v>23.6</v>
      </c>
      <c r="L9" s="7">
        <v>1.486</v>
      </c>
      <c r="M9" s="11">
        <v>8.9999999999999993E-3</v>
      </c>
      <c r="N9" s="7">
        <v>0</v>
      </c>
      <c r="O9" s="7">
        <v>1.4950000000000001</v>
      </c>
      <c r="P9" s="7">
        <v>4.4969999999999999</v>
      </c>
      <c r="Q9" s="7">
        <f t="shared" si="1"/>
        <v>33.244385145652657</v>
      </c>
    </row>
    <row r="10" spans="1:17" ht="18" customHeight="1" x14ac:dyDescent="0.25">
      <c r="A10" s="21">
        <v>44044</v>
      </c>
      <c r="B10" s="3">
        <v>1229</v>
      </c>
      <c r="C10" s="3">
        <v>2371</v>
      </c>
      <c r="D10" s="3">
        <v>1011</v>
      </c>
      <c r="E10" s="3">
        <v>45544</v>
      </c>
      <c r="F10" s="3">
        <v>18.672999999999998</v>
      </c>
      <c r="G10" s="3">
        <v>44.933</v>
      </c>
      <c r="H10" s="6">
        <f t="shared" si="0"/>
        <v>41.557429951260758</v>
      </c>
      <c r="I10" s="6">
        <v>32.5</v>
      </c>
      <c r="J10" s="6"/>
      <c r="K10" s="6">
        <v>32.5</v>
      </c>
      <c r="L10" s="6">
        <v>1.6990000000000001</v>
      </c>
      <c r="M10" s="10">
        <v>1.4E-2</v>
      </c>
      <c r="N10" s="6">
        <v>0</v>
      </c>
      <c r="O10" s="6">
        <v>1.7130000000000001</v>
      </c>
      <c r="P10" s="6">
        <v>4.1680000000000001</v>
      </c>
      <c r="Q10" s="6">
        <f t="shared" si="1"/>
        <v>41.09884836852207</v>
      </c>
    </row>
    <row r="11" spans="1:17" ht="15" customHeight="1" x14ac:dyDescent="0.25">
      <c r="A11" s="22">
        <v>44075</v>
      </c>
      <c r="B11" s="4">
        <v>1260</v>
      </c>
      <c r="C11" s="4">
        <v>2548</v>
      </c>
      <c r="D11" s="4">
        <v>1146</v>
      </c>
      <c r="E11" s="4">
        <v>49709</v>
      </c>
      <c r="F11" s="4">
        <v>20.3</v>
      </c>
      <c r="G11" s="4">
        <v>48.594000000000001</v>
      </c>
      <c r="H11" s="7">
        <f t="shared" si="0"/>
        <v>41.774704696053014</v>
      </c>
      <c r="I11" s="7">
        <v>36.200000000000003</v>
      </c>
      <c r="J11" s="7"/>
      <c r="K11" s="7">
        <v>36.200000000000003</v>
      </c>
      <c r="L11" s="7">
        <v>1.847</v>
      </c>
      <c r="M11" s="11">
        <v>1.7999999999999999E-2</v>
      </c>
      <c r="N11" s="7">
        <v>0</v>
      </c>
      <c r="O11" s="7">
        <v>1.865</v>
      </c>
      <c r="P11" s="7">
        <v>4.5090000000000003</v>
      </c>
      <c r="Q11" s="7">
        <f t="shared" si="1"/>
        <v>41.361721002439559</v>
      </c>
    </row>
    <row r="12" spans="1:17" ht="16.5" customHeight="1" x14ac:dyDescent="0.25">
      <c r="A12" s="21">
        <v>44105</v>
      </c>
      <c r="B12" s="3">
        <v>1386</v>
      </c>
      <c r="C12" s="3">
        <v>2874</v>
      </c>
      <c r="D12" s="3">
        <v>1339</v>
      </c>
      <c r="E12" s="3">
        <v>63236</v>
      </c>
      <c r="F12" s="3">
        <v>25.317</v>
      </c>
      <c r="G12" s="3">
        <v>54.387999999999998</v>
      </c>
      <c r="H12" s="6">
        <f t="shared" si="0"/>
        <v>46.548871074501733</v>
      </c>
      <c r="I12" s="6">
        <v>37.1</v>
      </c>
      <c r="J12" s="6"/>
      <c r="K12" s="6">
        <v>37.1</v>
      </c>
      <c r="L12" s="6">
        <v>2.3039999999999998</v>
      </c>
      <c r="M12" s="10">
        <v>1.9E-2</v>
      </c>
      <c r="N12" s="6">
        <v>0</v>
      </c>
      <c r="O12" s="6">
        <v>2.323</v>
      </c>
      <c r="P12" s="6">
        <v>5.0439999999999996</v>
      </c>
      <c r="Q12" s="6">
        <f t="shared" si="1"/>
        <v>46.054718477398893</v>
      </c>
    </row>
    <row r="13" spans="1:17" ht="17.25" customHeight="1" x14ac:dyDescent="0.25">
      <c r="A13" s="22">
        <v>44136</v>
      </c>
      <c r="B13" s="4">
        <v>1600</v>
      </c>
      <c r="C13" s="4">
        <v>3096</v>
      </c>
      <c r="D13" s="4">
        <v>1359</v>
      </c>
      <c r="E13" s="4">
        <v>82656</v>
      </c>
      <c r="F13" s="4">
        <v>33.734999999999999</v>
      </c>
      <c r="G13" s="4">
        <v>59.069000000000003</v>
      </c>
      <c r="H13" s="7">
        <f t="shared" si="0"/>
        <v>57.111175066447707</v>
      </c>
      <c r="I13" s="7">
        <v>46.968000000000004</v>
      </c>
      <c r="J13" s="7"/>
      <c r="K13" s="7">
        <v>46.968000000000004</v>
      </c>
      <c r="L13" s="7">
        <v>3.07</v>
      </c>
      <c r="M13" s="11">
        <v>1.4E-2</v>
      </c>
      <c r="N13" s="7">
        <v>0</v>
      </c>
      <c r="O13" s="7">
        <v>3.0840000000000001</v>
      </c>
      <c r="P13" s="7">
        <v>5.4720000000000004</v>
      </c>
      <c r="Q13" s="7">
        <f t="shared" si="1"/>
        <v>56.359649122807006</v>
      </c>
    </row>
    <row r="14" spans="1:17" ht="14.25" customHeight="1" x14ac:dyDescent="0.25">
      <c r="A14" s="21">
        <v>44166</v>
      </c>
      <c r="B14" s="3">
        <v>1787</v>
      </c>
      <c r="C14" s="3">
        <v>3482</v>
      </c>
      <c r="D14" s="3">
        <v>1474</v>
      </c>
      <c r="E14" s="3">
        <v>99226</v>
      </c>
      <c r="F14" s="3">
        <v>40.329000000000001</v>
      </c>
      <c r="G14" s="3">
        <v>64.981999999999999</v>
      </c>
      <c r="H14" s="6">
        <f t="shared" si="0"/>
        <v>62.061801729709764</v>
      </c>
      <c r="I14" s="6">
        <v>25</v>
      </c>
      <c r="J14" s="6"/>
      <c r="K14" s="6">
        <v>25</v>
      </c>
      <c r="L14" s="6">
        <v>3.67</v>
      </c>
      <c r="M14" s="10">
        <v>1.6E-2</v>
      </c>
      <c r="N14" s="6">
        <v>0</v>
      </c>
      <c r="O14" s="6">
        <v>3.6859999999999999</v>
      </c>
      <c r="P14" s="6">
        <v>6.032</v>
      </c>
      <c r="Q14" s="6">
        <f t="shared" si="1"/>
        <v>61.107427055702914</v>
      </c>
    </row>
    <row r="15" spans="1:17" ht="15.75" customHeight="1" x14ac:dyDescent="0.25">
      <c r="A15" s="22">
        <v>44197</v>
      </c>
      <c r="B15" s="4">
        <v>1652</v>
      </c>
      <c r="C15" s="4">
        <v>3167</v>
      </c>
      <c r="D15" s="4">
        <v>1351</v>
      </c>
      <c r="E15" s="4">
        <v>92039</v>
      </c>
      <c r="F15" s="4">
        <v>36.6</v>
      </c>
      <c r="G15" s="4">
        <v>59.561999999999998</v>
      </c>
      <c r="H15" s="7">
        <f t="shared" si="0"/>
        <v>61.448574594540148</v>
      </c>
      <c r="I15" s="7">
        <v>19</v>
      </c>
      <c r="J15" s="7"/>
      <c r="K15" s="7">
        <v>19</v>
      </c>
      <c r="L15" s="7">
        <v>3.331</v>
      </c>
      <c r="M15" s="11">
        <v>1.2E-2</v>
      </c>
      <c r="N15" s="7">
        <v>0</v>
      </c>
      <c r="O15" s="7">
        <v>3.343</v>
      </c>
      <c r="P15" s="7">
        <v>5.5359999999999996</v>
      </c>
      <c r="Q15" s="7">
        <f t="shared" si="1"/>
        <v>60.38656069364162</v>
      </c>
    </row>
    <row r="16" spans="1:17" ht="14.25" customHeight="1" x14ac:dyDescent="0.25">
      <c r="A16" s="21">
        <v>44228</v>
      </c>
      <c r="B16" s="3">
        <v>1660</v>
      </c>
      <c r="C16" s="3">
        <v>3086</v>
      </c>
      <c r="D16" s="3">
        <v>1240</v>
      </c>
      <c r="E16" s="3">
        <v>95469</v>
      </c>
      <c r="F16" s="3">
        <v>37.381999999999998</v>
      </c>
      <c r="G16" s="3">
        <v>57.271999999999998</v>
      </c>
      <c r="H16" s="6">
        <f t="shared" si="0"/>
        <v>65.270987568096103</v>
      </c>
      <c r="I16" s="6">
        <v>18</v>
      </c>
      <c r="J16" s="6"/>
      <c r="K16" s="6">
        <v>18</v>
      </c>
      <c r="L16" s="6">
        <v>3.4020000000000001</v>
      </c>
      <c r="M16" s="10">
        <v>0.01</v>
      </c>
      <c r="N16" s="6">
        <v>0</v>
      </c>
      <c r="O16" s="6">
        <v>3.4119999999999999</v>
      </c>
      <c r="P16" s="6">
        <v>5.335</v>
      </c>
      <c r="Q16" s="6">
        <f t="shared" si="1"/>
        <v>63.95501405810684</v>
      </c>
    </row>
    <row r="17" spans="1:17" ht="15" customHeight="1" x14ac:dyDescent="0.25">
      <c r="A17" s="22">
        <v>44256</v>
      </c>
      <c r="B17" s="4">
        <v>1809</v>
      </c>
      <c r="C17" s="4">
        <v>3472</v>
      </c>
      <c r="D17" s="4">
        <v>1515</v>
      </c>
      <c r="E17" s="4">
        <v>95563</v>
      </c>
      <c r="F17" s="4">
        <v>38.097999999999999</v>
      </c>
      <c r="G17" s="4">
        <v>65.795000000000002</v>
      </c>
      <c r="H17" s="7">
        <f t="shared" si="0"/>
        <v>57.904096055931298</v>
      </c>
      <c r="I17" s="7">
        <v>24</v>
      </c>
      <c r="J17" s="7"/>
      <c r="K17" s="7">
        <v>24</v>
      </c>
      <c r="L17" s="7">
        <v>3.4670000000000001</v>
      </c>
      <c r="M17" s="11">
        <v>1.4E-2</v>
      </c>
      <c r="N17" s="7">
        <v>0</v>
      </c>
      <c r="O17" s="7">
        <v>3.4809999999999999</v>
      </c>
      <c r="P17" s="7">
        <v>6.117</v>
      </c>
      <c r="Q17" s="7">
        <f t="shared" si="1"/>
        <v>56.906980546019291</v>
      </c>
    </row>
    <row r="18" spans="1:17" ht="15.75" customHeight="1" x14ac:dyDescent="0.25">
      <c r="A18" s="2" t="s">
        <v>23</v>
      </c>
      <c r="B18" s="5">
        <f>SUM(B6:B17)</f>
        <v>15557</v>
      </c>
      <c r="C18" s="5">
        <f t="shared" ref="C18:G18" si="2">SUM(C6:C17)</f>
        <v>29081</v>
      </c>
      <c r="D18" s="5">
        <f t="shared" si="2"/>
        <v>12190</v>
      </c>
      <c r="E18" s="5">
        <f t="shared" si="2"/>
        <v>705273</v>
      </c>
      <c r="F18" s="5">
        <f t="shared" si="2"/>
        <v>282.64299999999997</v>
      </c>
      <c r="G18" s="5">
        <f t="shared" si="2"/>
        <v>552.82900000000006</v>
      </c>
      <c r="H18" s="8">
        <f>F18/G18*100</f>
        <v>51.126659419097031</v>
      </c>
      <c r="I18" s="8">
        <f t="shared" ref="I18" si="3">SUM(I6:I17)</f>
        <v>355.36799999999999</v>
      </c>
      <c r="J18" s="8">
        <f t="shared" ref="J18" si="4">SUM(J6:J17)</f>
        <v>0</v>
      </c>
      <c r="K18" s="8">
        <f t="shared" ref="K18" si="5">SUM(K6:K17)</f>
        <v>355.36799999999999</v>
      </c>
      <c r="L18" s="8">
        <f t="shared" ref="L18" si="6">SUM(L6:L17)</f>
        <v>25.717600000000001</v>
      </c>
      <c r="M18" s="12">
        <f t="shared" ref="M18" si="7">SUM(M6:M17)</f>
        <v>0.13</v>
      </c>
      <c r="N18" s="8">
        <f t="shared" ref="N18" si="8">SUM(N6:N17)</f>
        <v>0</v>
      </c>
      <c r="O18" s="8">
        <f t="shared" ref="O18" si="9">SUM(O6:O17)</f>
        <v>25.8476</v>
      </c>
      <c r="P18" s="8">
        <f t="shared" ref="P18" si="10">SUM(P6:P17)</f>
        <v>51.180900000000001</v>
      </c>
      <c r="Q18" s="8">
        <f t="shared" si="1"/>
        <v>50.502433525006396</v>
      </c>
    </row>
    <row r="19" spans="1:17" ht="15.75" customHeight="1" x14ac:dyDescent="0.25">
      <c r="A19" s="13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2022-04-25T11:50:51Z</cp:lastPrinted>
  <dcterms:created xsi:type="dcterms:W3CDTF">2018-10-29T04:00:07Z</dcterms:created>
  <dcterms:modified xsi:type="dcterms:W3CDTF">2022-04-25T11:50:56Z</dcterms:modified>
</cp:coreProperties>
</file>