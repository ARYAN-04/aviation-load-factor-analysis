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3. AIR INDIA\"/>
    </mc:Choice>
  </mc:AlternateContent>
  <bookViews>
    <workbookView xWindow="0" yWindow="0" windowWidth="24000" windowHeight="943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2" l="1"/>
  <c r="Q8" i="2"/>
  <c r="Q9" i="2"/>
  <c r="Q10" i="2"/>
  <c r="Q11" i="2"/>
  <c r="Q12" i="2"/>
  <c r="Q13" i="2"/>
  <c r="Q14" i="2"/>
  <c r="Q15" i="2"/>
  <c r="Q16" i="2"/>
  <c r="Q17" i="2"/>
  <c r="Q6" i="2"/>
  <c r="H7" i="2"/>
  <c r="H8" i="2"/>
  <c r="H9" i="2"/>
  <c r="H10" i="2"/>
  <c r="H11" i="2"/>
  <c r="H12" i="2"/>
  <c r="H13" i="2"/>
  <c r="H14" i="2"/>
  <c r="H15" i="2"/>
  <c r="H16" i="2"/>
  <c r="H17" i="2"/>
  <c r="H6" i="2"/>
  <c r="P18" i="2" l="1"/>
  <c r="C18" i="2"/>
  <c r="B18" i="2"/>
  <c r="O18" i="2"/>
  <c r="N18" i="2"/>
  <c r="M18" i="2"/>
  <c r="L18" i="2"/>
  <c r="K18" i="2"/>
  <c r="J18" i="2"/>
  <c r="I18" i="2"/>
  <c r="G18" i="2"/>
  <c r="F18" i="2"/>
  <c r="E18" i="2"/>
  <c r="D18" i="2"/>
  <c r="H18" i="2" l="1"/>
  <c r="Q18" i="2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<sst xmlns="http://schemas.openxmlformats.org/spreadsheetml/2006/main" count="26" uniqueCount="24">
  <si>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</si>
  <si>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</si>
  <si>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</si>
  <si>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</si>
  <si>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</si>
  <si>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</si>
  <si>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</si>
  <si>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</si>
  <si>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</si>
  <si>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</si>
  <si>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</si>
  <si>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</si>
  <si>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</si>
  <si>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</si>
  <si>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</si>
  <si>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</si>
  <si>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</si>
  <si>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</si>
  <si>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</si>
  <si>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</si>
  <si>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>2019-20</t>
  </si>
  <si>
    <t>MONTHLY TRAFFIC AND OPERATING STATISTICS OF  AIR INDIA ON SCHEDULED DOMESTIC SERVICES DURING 2019-20</t>
  </si>
  <si>
    <t xml:space="preserve">तालिका 1.01 (एयर इंडिया) </t>
  </si>
  <si>
    <t>Table 1.01 (AIR INDIA)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</si>
</sst>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0" fontId="0" fillId="0" borderId="0" xfId="0" applyFont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="118" zoomScaleNormal="118" workbookViewId="0">
      <selection activeCell="S5" sqref="S5"/>
    </sheetView>
  </sheetViews>
  <sheetFormatPr defaultColWidth="9.140625" defaultRowHeight="15" x14ac:dyDescent="0.25"/>
  <cols>
    <col min="1" max="1" width="8.140625" style="21" customWidth="1"/>
    <col min="2" max="2" width="10.140625" style="21" customWidth="1"/>
    <col min="3" max="3" width="10" style="21" customWidth="1"/>
    <col min="4" max="4" width="9.85546875" style="21" customWidth="1"/>
    <col min="5" max="5" width="11" style="21" customWidth="1"/>
    <col min="6" max="6" width="8.42578125" style="21" customWidth="1"/>
    <col min="7" max="7" width="8.7109375" style="21" customWidth="1"/>
    <col min="8" max="8" width="7.28515625" style="21" customWidth="1"/>
    <col min="9" max="9" width="9.5703125" style="21" customWidth="1"/>
    <col min="10" max="10" width="8.7109375" style="21" customWidth="1"/>
    <col min="11" max="11" width="9.5703125" style="21" customWidth="1"/>
    <col min="12" max="12" width="11" style="21" customWidth="1"/>
    <col min="13" max="13" width="9.28515625" style="21" customWidth="1"/>
    <col min="14" max="14" width="8.5703125" style="21" customWidth="1"/>
    <col min="15" max="15" width="10.140625" style="21" customWidth="1"/>
    <col min="16" max="16" width="11" style="21" customWidth="1"/>
    <col min="17" max="17" width="8.7109375" style="21" customWidth="1"/>
    <col min="18" max="16384" width="9.140625" style="21"/>
  </cols>
  <sheetData>
    <row r="1" spans="1:17" ht="15" customHeight="1" x14ac:dyDescent="0.25">
      <c r="A1" s="16" t="s">
        <v>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5" customHeight="1" x14ac:dyDescent="0.25">
      <c r="A2" s="17" t="s">
        <v>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15" customHeight="1" x14ac:dyDescent="0.25">
      <c r="A3" s="19" t="s">
        <v>21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30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1" t="s">
        <v>3</v>
      </c>
      <c r="H4" s="1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1" t="s">
        <v>7</v>
      </c>
      <c r="Q4" s="11" t="s">
        <v>8</v>
      </c>
    </row>
    <row r="5" spans="1:17" ht="115.5" customHeight="1" x14ac:dyDescent="0.25">
      <c r="A5" s="19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2"/>
      <c r="H5" s="12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2"/>
      <c r="Q5" s="12"/>
    </row>
    <row r="6" spans="1:17" x14ac:dyDescent="0.25">
      <c r="A6" s="8">
        <v>43556</v>
      </c>
      <c r="B6" s="2">
        <v>10377</v>
      </c>
      <c r="C6" s="2">
        <v>18942</v>
      </c>
      <c r="D6" s="2">
        <v>11340</v>
      </c>
      <c r="E6" s="2">
        <v>1344054</v>
      </c>
      <c r="F6" s="2">
        <v>1314.5540900000001</v>
      </c>
      <c r="G6" s="2">
        <v>1600.1320000000001</v>
      </c>
      <c r="H6" s="5">
        <f>F6/G6*100</f>
        <v>82.152853014626288</v>
      </c>
      <c r="I6" s="5">
        <v>6220.9102000000003</v>
      </c>
      <c r="J6" s="5">
        <v>803.54600000000028</v>
      </c>
      <c r="K6" s="5">
        <v>7024.4602000000004</v>
      </c>
      <c r="L6" s="5">
        <v>129.22658000000001</v>
      </c>
      <c r="M6" s="5">
        <v>7.0209999999999999</v>
      </c>
      <c r="N6" s="5">
        <v>0.83216000000000001</v>
      </c>
      <c r="O6" s="5">
        <v>137.07974000000002</v>
      </c>
      <c r="P6" s="5">
        <v>171.40700000000001</v>
      </c>
      <c r="Q6" s="5">
        <f>O6/P6*100</f>
        <v>79.973244966658314</v>
      </c>
    </row>
    <row r="7" spans="1:17" x14ac:dyDescent="0.25">
      <c r="A7" s="9">
        <v>43586</v>
      </c>
      <c r="B7" s="3">
        <v>10757</v>
      </c>
      <c r="C7" s="3">
        <v>19769.950000000012</v>
      </c>
      <c r="D7" s="3">
        <v>11797.213</v>
      </c>
      <c r="E7" s="3">
        <v>1429384</v>
      </c>
      <c r="F7" s="3">
        <v>1387.334975</v>
      </c>
      <c r="G7" s="3">
        <v>1665.629506</v>
      </c>
      <c r="H7" s="6">
        <f t="shared" ref="H7:H18" si="0">F7/G7*100</f>
        <v>83.29193076866639</v>
      </c>
      <c r="I7" s="6">
        <v>6954.6493999999966</v>
      </c>
      <c r="J7" s="6">
        <v>849.10699999999997</v>
      </c>
      <c r="K7" s="6">
        <v>7803.7563999999966</v>
      </c>
      <c r="L7" s="6">
        <v>127.83813651400003</v>
      </c>
      <c r="M7" s="6">
        <v>8.0355917516999984</v>
      </c>
      <c r="N7" s="6">
        <v>0.80965700000000007</v>
      </c>
      <c r="O7" s="6">
        <v>136.68338526570003</v>
      </c>
      <c r="P7" s="6">
        <v>178.63181312799983</v>
      </c>
      <c r="Q7" s="6">
        <f t="shared" ref="Q7:Q18" si="1">O7/P7*100</f>
        <v>76.516821316569533</v>
      </c>
    </row>
    <row r="8" spans="1:17" x14ac:dyDescent="0.25">
      <c r="A8" s="8">
        <v>43617</v>
      </c>
      <c r="B8" s="2">
        <v>10359</v>
      </c>
      <c r="C8" s="2">
        <v>19353.950000000004</v>
      </c>
      <c r="D8" s="2">
        <v>11471.371999999999</v>
      </c>
      <c r="E8" s="2">
        <v>1354156</v>
      </c>
      <c r="F8" s="2">
        <v>1331.38426</v>
      </c>
      <c r="G8" s="2">
        <v>1629.329538</v>
      </c>
      <c r="H8" s="5">
        <f t="shared" si="0"/>
        <v>81.713626921308546</v>
      </c>
      <c r="I8" s="5">
        <v>6208.2164000000012</v>
      </c>
      <c r="J8" s="5">
        <v>673.31299999999999</v>
      </c>
      <c r="K8" s="5">
        <v>6881.5294000000013</v>
      </c>
      <c r="L8" s="5">
        <v>122.44519059399997</v>
      </c>
      <c r="M8" s="5">
        <v>7.2077329299000015</v>
      </c>
      <c r="N8" s="5">
        <v>0.627</v>
      </c>
      <c r="O8" s="5">
        <v>130.27992352389998</v>
      </c>
      <c r="P8" s="5">
        <v>174.883703</v>
      </c>
      <c r="Q8" s="5">
        <f t="shared" si="1"/>
        <v>74.495176674009457</v>
      </c>
    </row>
    <row r="9" spans="1:17" x14ac:dyDescent="0.25">
      <c r="A9" s="9">
        <v>43647</v>
      </c>
      <c r="B9" s="3">
        <v>10171</v>
      </c>
      <c r="C9" s="3">
        <v>19329.83333333335</v>
      </c>
      <c r="D9" s="3">
        <v>11282.545</v>
      </c>
      <c r="E9" s="3">
        <v>1290205</v>
      </c>
      <c r="F9" s="3">
        <v>1256.1877500000001</v>
      </c>
      <c r="G9" s="3">
        <v>1598.2725989999999</v>
      </c>
      <c r="H9" s="6">
        <f t="shared" si="0"/>
        <v>78.596589266810057</v>
      </c>
      <c r="I9" s="6">
        <v>6081.4328999999989</v>
      </c>
      <c r="J9" s="6">
        <v>709.64200000000005</v>
      </c>
      <c r="K9" s="6">
        <v>6791.0748999999987</v>
      </c>
      <c r="L9" s="6">
        <v>115.59873001199995</v>
      </c>
      <c r="M9" s="6">
        <v>7.0993395760000011</v>
      </c>
      <c r="N9" s="6">
        <v>0.65909699999999716</v>
      </c>
      <c r="O9" s="6">
        <v>123.35716658799994</v>
      </c>
      <c r="P9" s="6">
        <v>171.91969468799999</v>
      </c>
      <c r="Q9" s="6">
        <f t="shared" si="1"/>
        <v>71.752783653942984</v>
      </c>
    </row>
    <row r="10" spans="1:17" x14ac:dyDescent="0.25">
      <c r="A10" s="8">
        <v>43678</v>
      </c>
      <c r="B10" s="2">
        <v>10302</v>
      </c>
      <c r="C10" s="2">
        <v>19569</v>
      </c>
      <c r="D10" s="2">
        <v>11398</v>
      </c>
      <c r="E10" s="2">
        <v>1329262</v>
      </c>
      <c r="F10" s="2">
        <v>1286.0248470000001</v>
      </c>
      <c r="G10" s="2">
        <v>1617.7315719999999</v>
      </c>
      <c r="H10" s="5">
        <f t="shared" si="0"/>
        <v>79.495564607797633</v>
      </c>
      <c r="I10" s="5">
        <v>5940</v>
      </c>
      <c r="J10" s="5">
        <v>755.13900000000001</v>
      </c>
      <c r="K10" s="5">
        <v>6695.1390000000001</v>
      </c>
      <c r="L10" s="5">
        <v>118.44629822900021</v>
      </c>
      <c r="M10" s="5">
        <v>7.0510000000000002</v>
      </c>
      <c r="N10" s="5">
        <v>0.71439799999999998</v>
      </c>
      <c r="O10" s="5">
        <v>126.21169622900021</v>
      </c>
      <c r="P10" s="5">
        <v>175.40094383200022</v>
      </c>
      <c r="Q10" s="5">
        <f t="shared" si="1"/>
        <v>71.956110082216156</v>
      </c>
    </row>
    <row r="11" spans="1:17" x14ac:dyDescent="0.25">
      <c r="A11" s="9">
        <v>43709</v>
      </c>
      <c r="B11" s="3">
        <v>10344</v>
      </c>
      <c r="C11" s="3">
        <v>19591.099999999988</v>
      </c>
      <c r="D11" s="3">
        <v>11369.904</v>
      </c>
      <c r="E11" s="3">
        <v>1301642</v>
      </c>
      <c r="F11" s="3">
        <v>1257.9371740000001</v>
      </c>
      <c r="G11" s="3">
        <v>1609.8436869999998</v>
      </c>
      <c r="H11" s="6">
        <f t="shared" si="0"/>
        <v>78.140330279159599</v>
      </c>
      <c r="I11" s="6">
        <v>5936.3749999999982</v>
      </c>
      <c r="J11" s="6">
        <v>684.226</v>
      </c>
      <c r="K11" s="6">
        <v>6620.6009999999978</v>
      </c>
      <c r="L11" s="6">
        <v>115.85343637199995</v>
      </c>
      <c r="M11" s="6">
        <v>7.0291750508000028</v>
      </c>
      <c r="N11" s="6">
        <v>0.66471999999999998</v>
      </c>
      <c r="O11" s="6">
        <v>123.54733142279996</v>
      </c>
      <c r="P11" s="6">
        <v>174.1035637999999</v>
      </c>
      <c r="Q11" s="6">
        <f t="shared" si="1"/>
        <v>70.961977300317642</v>
      </c>
    </row>
    <row r="12" spans="1:17" x14ac:dyDescent="0.25">
      <c r="A12" s="8">
        <v>43739</v>
      </c>
      <c r="B12" s="2">
        <v>11262</v>
      </c>
      <c r="C12" s="2">
        <v>21297.283333333344</v>
      </c>
      <c r="D12" s="2">
        <v>12334.074000000001</v>
      </c>
      <c r="E12" s="2">
        <v>1352701</v>
      </c>
      <c r="F12" s="2">
        <v>1298.576881</v>
      </c>
      <c r="G12" s="2">
        <v>1736.7521869999998</v>
      </c>
      <c r="H12" s="5">
        <f t="shared" si="0"/>
        <v>74.770418642346016</v>
      </c>
      <c r="I12" s="5">
        <v>6740.7732000000024</v>
      </c>
      <c r="J12" s="5">
        <v>630.83399999999995</v>
      </c>
      <c r="K12" s="5">
        <v>7371.6072000000022</v>
      </c>
      <c r="L12" s="5">
        <v>119.66834945900005</v>
      </c>
      <c r="M12" s="5">
        <v>7.9635021923000062</v>
      </c>
      <c r="N12" s="5">
        <v>0.57319600000000004</v>
      </c>
      <c r="O12" s="5">
        <v>128.20504765130005</v>
      </c>
      <c r="P12" s="5">
        <v>187.68074890400007</v>
      </c>
      <c r="Q12" s="5">
        <f t="shared" si="1"/>
        <v>68.310174804810572</v>
      </c>
    </row>
    <row r="13" spans="1:17" x14ac:dyDescent="0.25">
      <c r="A13" s="9">
        <v>43770</v>
      </c>
      <c r="B13" s="3">
        <v>10449</v>
      </c>
      <c r="C13" s="3">
        <v>19997</v>
      </c>
      <c r="D13" s="3">
        <v>11540.666999999999</v>
      </c>
      <c r="E13" s="3">
        <v>1377244</v>
      </c>
      <c r="F13" s="3">
        <v>1331.7024939999999</v>
      </c>
      <c r="G13" s="3">
        <v>1627.585701</v>
      </c>
      <c r="H13" s="6">
        <f t="shared" si="0"/>
        <v>81.820729512540723</v>
      </c>
      <c r="I13" s="6">
        <v>5913.4394999999995</v>
      </c>
      <c r="J13" s="6">
        <v>755.92799999999886</v>
      </c>
      <c r="K13" s="6">
        <v>6669.3674999999985</v>
      </c>
      <c r="L13" s="6">
        <v>122.8282744129999</v>
      </c>
      <c r="M13" s="6">
        <v>6.9749999999999996</v>
      </c>
      <c r="N13" s="6">
        <v>0.67184399999999889</v>
      </c>
      <c r="O13" s="6">
        <v>130.4751184129999</v>
      </c>
      <c r="P13" s="6">
        <v>177.0484072400003</v>
      </c>
      <c r="Q13" s="6">
        <f t="shared" si="1"/>
        <v>73.694601632949258</v>
      </c>
    </row>
    <row r="14" spans="1:17" x14ac:dyDescent="0.25">
      <c r="A14" s="8">
        <v>43800</v>
      </c>
      <c r="B14" s="2">
        <v>10377</v>
      </c>
      <c r="C14" s="2">
        <v>20023.466666666704</v>
      </c>
      <c r="D14" s="2">
        <v>11598.632</v>
      </c>
      <c r="E14" s="2">
        <v>1349814</v>
      </c>
      <c r="F14" s="2">
        <v>1315.4637</v>
      </c>
      <c r="G14" s="2">
        <v>1657.785173</v>
      </c>
      <c r="H14" s="5">
        <f t="shared" si="0"/>
        <v>79.350673502494885</v>
      </c>
      <c r="I14" s="5">
        <v>7549.1854999999969</v>
      </c>
      <c r="J14" s="5">
        <v>659.7039999999995</v>
      </c>
      <c r="K14" s="5">
        <v>8208.8894999999957</v>
      </c>
      <c r="L14" s="5">
        <v>121.258382471</v>
      </c>
      <c r="M14" s="5">
        <v>8.935822825899999</v>
      </c>
      <c r="N14" s="5">
        <v>0.57902399999999998</v>
      </c>
      <c r="O14" s="5">
        <v>130.77322929690001</v>
      </c>
      <c r="P14" s="5">
        <v>181.31872440800024</v>
      </c>
      <c r="Q14" s="5">
        <f t="shared" si="1"/>
        <v>72.1234002301033</v>
      </c>
    </row>
    <row r="15" spans="1:17" x14ac:dyDescent="0.25">
      <c r="A15" s="9">
        <v>43831</v>
      </c>
      <c r="B15" s="3">
        <v>10454</v>
      </c>
      <c r="C15" s="3">
        <v>20091.433333333345</v>
      </c>
      <c r="D15" s="3">
        <v>11607.891</v>
      </c>
      <c r="E15" s="3">
        <v>1285138</v>
      </c>
      <c r="F15" s="3">
        <v>1246.6256310000001</v>
      </c>
      <c r="G15" s="3">
        <v>1628.6802849999999</v>
      </c>
      <c r="H15" s="6">
        <f t="shared" si="0"/>
        <v>76.542071668780594</v>
      </c>
      <c r="I15" s="6">
        <v>6797.7641000000012</v>
      </c>
      <c r="J15" s="6">
        <v>751.94999999999857</v>
      </c>
      <c r="K15" s="6">
        <v>7549.7141000000001</v>
      </c>
      <c r="L15" s="6">
        <v>114.91891864100008</v>
      </c>
      <c r="M15" s="6">
        <v>7.9426045807000056</v>
      </c>
      <c r="N15" s="6">
        <v>0.6774419999999991</v>
      </c>
      <c r="O15" s="6">
        <v>123.53896522170007</v>
      </c>
      <c r="P15" s="6">
        <v>176.73355430399943</v>
      </c>
      <c r="Q15" s="6">
        <f t="shared" si="1"/>
        <v>69.901250901795748</v>
      </c>
    </row>
    <row r="16" spans="1:17" x14ac:dyDescent="0.25">
      <c r="A16" s="8">
        <v>43862</v>
      </c>
      <c r="B16" s="2">
        <v>9921</v>
      </c>
      <c r="C16" s="2">
        <v>18985.000000000029</v>
      </c>
      <c r="D16" s="2">
        <v>10979.710999999999</v>
      </c>
      <c r="E16" s="2">
        <v>1283574</v>
      </c>
      <c r="F16" s="2">
        <v>1254.0700469999999</v>
      </c>
      <c r="G16" s="2">
        <v>1549.7578430000001</v>
      </c>
      <c r="H16" s="5">
        <f t="shared" si="0"/>
        <v>80.92038718593534</v>
      </c>
      <c r="I16" s="5">
        <v>6036.5010000000011</v>
      </c>
      <c r="J16" s="5">
        <v>789.399</v>
      </c>
      <c r="K16" s="5">
        <v>6825.9000000000015</v>
      </c>
      <c r="L16" s="5">
        <v>115.60509592700002</v>
      </c>
      <c r="M16" s="5">
        <v>7.2943754950000006</v>
      </c>
      <c r="N16" s="5">
        <v>0.73563300000000009</v>
      </c>
      <c r="O16" s="5">
        <v>123.63510442200001</v>
      </c>
      <c r="P16" s="5">
        <v>168.44162675599995</v>
      </c>
      <c r="Q16" s="5">
        <f t="shared" si="1"/>
        <v>73.399376866084609</v>
      </c>
    </row>
    <row r="17" spans="1:17" x14ac:dyDescent="0.25">
      <c r="A17" s="9">
        <v>43891</v>
      </c>
      <c r="B17" s="3">
        <v>7495</v>
      </c>
      <c r="C17" s="3">
        <v>14102.066666666673</v>
      </c>
      <c r="D17" s="3">
        <v>8493.1810000000005</v>
      </c>
      <c r="E17" s="3">
        <v>722474</v>
      </c>
      <c r="F17" s="3">
        <v>722.48153200000002</v>
      </c>
      <c r="G17" s="3">
        <v>1157.0091729999999</v>
      </c>
      <c r="H17" s="6">
        <f t="shared" si="0"/>
        <v>62.443889716680758</v>
      </c>
      <c r="I17" s="6">
        <v>3971.5399999999981</v>
      </c>
      <c r="J17" s="6">
        <v>368.94600000000003</v>
      </c>
      <c r="K17" s="6">
        <v>4340.4859999999981</v>
      </c>
      <c r="L17" s="6">
        <v>66.44944049499999</v>
      </c>
      <c r="M17" s="6">
        <v>4.7938066389000022</v>
      </c>
      <c r="N17" s="6">
        <v>0.3377400000000001</v>
      </c>
      <c r="O17" s="6">
        <v>71.580987133899995</v>
      </c>
      <c r="P17" s="6">
        <v>125.0751761399999</v>
      </c>
      <c r="Q17" s="6">
        <f t="shared" si="1"/>
        <v>57.230370840155786</v>
      </c>
    </row>
    <row r="18" spans="1:17" ht="26.25" customHeight="1" x14ac:dyDescent="0.25">
      <c r="A18" s="1" t="s">
        <v>20</v>
      </c>
      <c r="B18" s="4">
        <f>SUM(B6:B17)</f>
        <v>122268</v>
      </c>
      <c r="C18" s="4">
        <f t="shared" ref="C18:G18" si="2">SUM(C6:C17)</f>
        <v>231052.08333333346</v>
      </c>
      <c r="D18" s="4">
        <f t="shared" si="2"/>
        <v>135213.19</v>
      </c>
      <c r="E18" s="4">
        <f t="shared" si="2"/>
        <v>15419648</v>
      </c>
      <c r="F18" s="4">
        <f t="shared" si="2"/>
        <v>15002.343380999999</v>
      </c>
      <c r="G18" s="4">
        <f t="shared" si="2"/>
        <v>19078.509264</v>
      </c>
      <c r="H18" s="7">
        <f t="shared" si="0"/>
        <v>78.634777871814748</v>
      </c>
      <c r="I18" s="7">
        <f t="shared" ref="I18:P18" si="3">SUM(I6:I17)</f>
        <v>74350.787199999992</v>
      </c>
      <c r="J18" s="7">
        <f t="shared" si="3"/>
        <v>8431.7339999999986</v>
      </c>
      <c r="K18" s="7">
        <f t="shared" si="3"/>
        <v>82782.525200000004</v>
      </c>
      <c r="L18" s="7">
        <f t="shared" si="3"/>
        <v>1390.1368331270003</v>
      </c>
      <c r="M18" s="7">
        <f t="shared" si="3"/>
        <v>87.348951041200024</v>
      </c>
      <c r="N18" s="7">
        <f t="shared" si="3"/>
        <v>7.881910999999997</v>
      </c>
      <c r="O18" s="7">
        <f t="shared" si="3"/>
        <v>1485.3676951681998</v>
      </c>
      <c r="P18" s="7">
        <f t="shared" si="3"/>
        <v>2062.6449561999998</v>
      </c>
      <c r="Q18" s="7">
        <f t="shared" si="1"/>
        <v>72.012766458105574</v>
      </c>
    </row>
    <row r="19" spans="1:17" ht="15" customHeight="1" x14ac:dyDescent="0.25">
      <c r="A19" s="13" t="s">
        <v>19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2020-06-09T07:48:29Z</cp:lastPrinted>
  <dcterms:created xsi:type="dcterms:W3CDTF">2018-10-29T04:00:07Z</dcterms:created>
  <dcterms:modified xsi:type="dcterms:W3CDTF">2021-09-14T20:57:18Z</dcterms:modified>
</cp:coreProperties>
</file>