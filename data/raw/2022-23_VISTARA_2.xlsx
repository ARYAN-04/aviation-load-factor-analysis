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Annual tables 22_23\reports of DD\Annual tables 22_23\VISTARA\"/>
    </mc:Choice>
  </mc:AlternateContent>
  <bookViews>
    <workbookView xWindow="0" yWindow="0" windowWidth="24000" windowHeight="9735"/>
  </bookViews>
  <sheets>
    <sheet name="VISTA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1" l="1"/>
  <c r="Q16" i="1" l="1"/>
  <c r="Q15" i="1"/>
  <c r="Q14" i="1"/>
  <c r="Q13" i="1"/>
  <c r="Q12" i="1"/>
  <c r="Q11" i="1"/>
  <c r="Q10" i="1"/>
  <c r="Q9" i="1"/>
  <c r="Q8" i="1"/>
  <c r="Q7" i="1"/>
  <c r="Q6" i="1"/>
  <c r="H16" i="1"/>
  <c r="H15" i="1"/>
  <c r="H14" i="1"/>
  <c r="H13" i="1"/>
  <c r="H12" i="1"/>
  <c r="H11" i="1"/>
  <c r="H10" i="1"/>
  <c r="H9" i="1"/>
  <c r="H8" i="1"/>
  <c r="H7" i="1"/>
  <c r="H6" i="1"/>
  <c r="H17" i="1" l="1"/>
  <c r="Q17" i="1" l="1"/>
  <c r="P18" i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<sst xmlns="http://schemas.openxmlformats.org/spreadsheetml/2006/main" count="26" uniqueCount="24">
  <si>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SOURCE:-  ICAO ATR FORM 'A' FURNISHED BY VISTARA</t>
  </si>
  <si>
    <t xml:space="preserve"> TOTAL</t>
  </si>
  <si>
    <t xml:space="preserve"> MAIL</t>
  </si>
  <si>
    <t>FREIGHT</t>
  </si>
  <si>
    <t xml:space="preserve"> PAX.</t>
  </si>
  <si>
    <t xml:space="preserve"> FREIGHT </t>
  </si>
  <si>
    <t>KMS.PERFORMED (MILLION)</t>
  </si>
  <si>
    <t>CARRIED (NOS.)</t>
  </si>
  <si>
    <t xml:space="preserve">  KMS. (THOUSANDS)</t>
  </si>
  <si>
    <t>HOURS (NOS.)</t>
  </si>
  <si>
    <t>DEPARTURES (NOS.)</t>
  </si>
  <si>
    <t xml:space="preserve"> WEIGHT LOAD FACTOR (%)</t>
  </si>
  <si>
    <t>AVAILABLE TONNE KILOMETERS (MILLION)</t>
  </si>
  <si>
    <t xml:space="preserve">    TON  KMS. PERFORMED (MILLION)</t>
  </si>
  <si>
    <t xml:space="preserve"> CARGO CARRIED (TON)</t>
  </si>
  <si>
    <t xml:space="preserve"> PAX. LOAD FACTOR (%)</t>
  </si>
  <si>
    <t>AVAILABLE SEAT KILOMETERS (MILLION)</t>
  </si>
  <si>
    <t xml:space="preserve">    PASSENGERS</t>
  </si>
  <si>
    <t>AIRCRAFT FLOWN</t>
  </si>
  <si>
    <t>MONTH</t>
  </si>
  <si>
    <t>Table 1.02 (VISTARA)</t>
  </si>
  <si>
    <t xml:space="preserve">तालिका - 1.02 (विस्तारा) </t>
  </si>
  <si>
    <t>2022-23</t>
  </si>
  <si>
    <t>MONTHLY TRAFFIC AND OPERATING STATISTICS OF VISTARA ON SCHEDULED INTERNATIONAL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</si>
</sst>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[$-409]m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164" fontId="2" fillId="3" borderId="1" xfId="3" applyNumberFormat="1" applyFont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164" fontId="1" fillId="3" borderId="1" xfId="3" applyNumberFormat="1" applyBorder="1" applyAlignment="1">
      <alignment horizontal="center" vertical="center"/>
    </xf>
    <xf numFmtId="0" fontId="6" fillId="2" borderId="1" xfId="2" applyFont="1" applyBorder="1" applyAlignment="1" applyProtection="1">
      <alignment horizontal="center" vertical="center" textRotation="90" wrapText="1"/>
    </xf>
    <xf numFmtId="164" fontId="1" fillId="5" borderId="1" xfId="3" applyNumberFormat="1" applyFill="1" applyBorder="1" applyAlignment="1">
      <alignment horizontal="center" vertical="center"/>
    </xf>
    <xf numFmtId="164" fontId="2" fillId="3" borderId="1" xfId="3" applyNumberFormat="1" applyFont="1" applyBorder="1" applyAlignment="1">
      <alignment horizontal="center" vertical="center"/>
    </xf>
    <xf numFmtId="164" fontId="2" fillId="6" borderId="1" xfId="3" applyNumberFormat="1" applyFont="1" applyFill="1" applyBorder="1" applyAlignment="1">
      <alignment horizontal="center" vertical="center"/>
    </xf>
    <xf numFmtId="165" fontId="1" fillId="3" borderId="1" xfId="3" applyNumberForma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left" vertical="center" wrapText="1"/>
    </xf>
    <xf numFmtId="0" fontId="6" fillId="3" borderId="1" xfId="3" applyFont="1" applyBorder="1" applyAlignment="1">
      <alignment horizontal="center" vertical="center" wrapText="1"/>
    </xf>
    <xf numFmtId="0" fontId="6" fillId="3" borderId="1" xfId="3" quotePrefix="1" applyFont="1" applyBorder="1" applyAlignment="1" applyProtection="1">
      <alignment horizontal="center" vertical="center" wrapText="1"/>
    </xf>
    <xf numFmtId="0" fontId="6" fillId="3" borderId="1" xfId="3" applyFont="1" applyBorder="1"/>
    <xf numFmtId="0" fontId="6" fillId="2" borderId="1" xfId="2" applyFont="1" applyBorder="1" applyAlignment="1" applyProtection="1">
      <alignment horizontal="center" vertical="center" wrapText="1"/>
    </xf>
    <xf numFmtId="0" fontId="6" fillId="2" borderId="1" xfId="2" applyFont="1" applyBorder="1"/>
    <xf numFmtId="0" fontId="6" fillId="2" borderId="1" xfId="2" applyFont="1" applyBorder="1" applyAlignment="1" applyProtection="1">
      <alignment horizontal="center" vertical="center" textRotation="90" wrapText="1"/>
    </xf>
    <xf numFmtId="0" fontId="6" fillId="2" borderId="1" xfId="2" applyFont="1" applyBorder="1" applyAlignment="1">
      <alignment textRotation="90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="95" zoomScaleNormal="95" workbookViewId="0">
      <selection activeCell="O18" sqref="O18"/>
    </sheetView>
  </sheetViews>
  <sheetFormatPr defaultRowHeight="15" x14ac:dyDescent="0.25"/>
  <cols>
    <col min="1" max="1" width="13.5703125" customWidth="1"/>
    <col min="2" max="2" width="8.5703125" customWidth="1"/>
    <col min="3" max="3" width="10.28515625" customWidth="1"/>
    <col min="4" max="4" width="9.28515625" customWidth="1"/>
    <col min="5" max="6" width="12.140625" customWidth="1"/>
    <col min="7" max="7" width="11" customWidth="1"/>
    <col min="8" max="8" width="7.42578125" customWidth="1"/>
    <col min="9" max="9" width="9.28515625" customWidth="1"/>
    <col min="10" max="10" width="7.42578125" customWidth="1"/>
    <col min="11" max="11" width="9.85546875" customWidth="1"/>
    <col min="12" max="12" width="9.7109375" customWidth="1"/>
    <col min="13" max="13" width="9.140625" customWidth="1"/>
    <col min="14" max="14" width="7.42578125" customWidth="1"/>
    <col min="15" max="15" width="9.85546875" customWidth="1"/>
    <col min="16" max="16" width="11.85546875" customWidth="1"/>
    <col min="17" max="17" width="7.28515625" customWidth="1"/>
  </cols>
  <sheetData>
    <row r="1" spans="1:17" ht="19.149999999999999" customHeight="1" x14ac:dyDescent="0.25">
      <c r="A1" s="11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9.149999999999999" customHeight="1" x14ac:dyDescent="0.25">
      <c r="A2" s="12" t="s">
        <v>20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149999999999999" customHeight="1" x14ac:dyDescent="0.25">
      <c r="A3" s="14" t="s">
        <v>23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7.9" customHeight="1" x14ac:dyDescent="0.25">
      <c r="A4" s="14" t="s">
        <v>19</v>
      </c>
      <c r="B4" s="14" t="s">
        <v>18</v>
      </c>
      <c r="C4" s="14"/>
      <c r="D4" s="14"/>
      <c r="E4" s="14" t="s">
        <v>17</v>
      </c>
      <c r="F4" s="15"/>
      <c r="G4" s="16" t="s">
        <v>16</v>
      </c>
      <c r="H4" s="16" t="s">
        <v>15</v>
      </c>
      <c r="I4" s="14" t="s">
        <v>14</v>
      </c>
      <c r="J4" s="14"/>
      <c r="K4" s="14"/>
      <c r="L4" s="14" t="s">
        <v>13</v>
      </c>
      <c r="M4" s="14"/>
      <c r="N4" s="14"/>
      <c r="O4" s="14"/>
      <c r="P4" s="16" t="s">
        <v>12</v>
      </c>
      <c r="Q4" s="16" t="s">
        <v>11</v>
      </c>
    </row>
    <row r="5" spans="1:17" ht="99" customHeight="1" x14ac:dyDescent="0.25">
      <c r="A5" s="14"/>
      <c r="B5" s="4" t="s">
        <v>10</v>
      </c>
      <c r="C5" s="4" t="s">
        <v>9</v>
      </c>
      <c r="D5" s="4" t="s">
        <v>8</v>
      </c>
      <c r="E5" s="4" t="s">
        <v>7</v>
      </c>
      <c r="F5" s="4" t="s">
        <v>6</v>
      </c>
      <c r="G5" s="17"/>
      <c r="H5" s="17"/>
      <c r="I5" s="4" t="s">
        <v>5</v>
      </c>
      <c r="J5" s="4" t="s">
        <v>2</v>
      </c>
      <c r="K5" s="4" t="s">
        <v>1</v>
      </c>
      <c r="L5" s="4" t="s">
        <v>4</v>
      </c>
      <c r="M5" s="4" t="s">
        <v>3</v>
      </c>
      <c r="N5" s="4" t="s">
        <v>2</v>
      </c>
      <c r="O5" s="4" t="s">
        <v>1</v>
      </c>
      <c r="P5" s="17"/>
      <c r="Q5" s="17"/>
    </row>
    <row r="6" spans="1:17" ht="19.899999999999999" customHeight="1" x14ac:dyDescent="0.25">
      <c r="A6" s="8">
        <v>44652</v>
      </c>
      <c r="B6" s="3">
        <v>396</v>
      </c>
      <c r="C6" s="3">
        <v>1740.31</v>
      </c>
      <c r="D6" s="3">
        <v>1328.058</v>
      </c>
      <c r="E6" s="3">
        <v>54418</v>
      </c>
      <c r="F6" s="3">
        <v>227.299421</v>
      </c>
      <c r="G6" s="3">
        <v>306.32803200000001</v>
      </c>
      <c r="H6" s="3">
        <f t="shared" ref="H6:H16" si="0">F6/G6*100</f>
        <v>74.201312728702533</v>
      </c>
      <c r="I6" s="3">
        <v>994.88199999999995</v>
      </c>
      <c r="J6" s="3"/>
      <c r="K6" s="3">
        <v>994.88199999999995</v>
      </c>
      <c r="L6" s="3">
        <v>23.866439204999999</v>
      </c>
      <c r="M6" s="3">
        <v>6.0275437609999996</v>
      </c>
      <c r="N6" s="3">
        <v>0</v>
      </c>
      <c r="O6" s="3">
        <v>29.893982965999999</v>
      </c>
      <c r="P6" s="3">
        <v>46.049596799999996</v>
      </c>
      <c r="Q6" s="3">
        <f t="shared" ref="Q6:Q16" si="1">O6/P6*100</f>
        <v>64.916926625511735</v>
      </c>
    </row>
    <row r="7" spans="1:17" ht="19.899999999999999" customHeight="1" x14ac:dyDescent="0.25">
      <c r="A7" s="8">
        <v>44682</v>
      </c>
      <c r="B7" s="2">
        <v>440</v>
      </c>
      <c r="C7" s="2">
        <v>2054.3200000000002</v>
      </c>
      <c r="D7" s="2">
        <v>1561.9559999999999</v>
      </c>
      <c r="E7" s="2">
        <v>68161</v>
      </c>
      <c r="F7" s="2">
        <v>275.98319500000002</v>
      </c>
      <c r="G7" s="2">
        <v>364.79469</v>
      </c>
      <c r="H7" s="2">
        <f t="shared" si="0"/>
        <v>75.65438932238844</v>
      </c>
      <c r="I7" s="2">
        <v>1267.221</v>
      </c>
      <c r="J7" s="2"/>
      <c r="K7" s="2">
        <v>1267.221</v>
      </c>
      <c r="L7" s="2">
        <v>28.978235474999998</v>
      </c>
      <c r="M7" s="2">
        <v>7.631069085</v>
      </c>
      <c r="N7" s="2">
        <v>0</v>
      </c>
      <c r="O7" s="2">
        <v>36.609304559999998</v>
      </c>
      <c r="P7" s="2">
        <v>53.392254000000001</v>
      </c>
      <c r="Q7" s="2">
        <f t="shared" si="1"/>
        <v>68.566696135360743</v>
      </c>
    </row>
    <row r="8" spans="1:17" ht="19.899999999999999" customHeight="1" x14ac:dyDescent="0.25">
      <c r="A8" s="8">
        <v>44713</v>
      </c>
      <c r="B8" s="3">
        <v>476</v>
      </c>
      <c r="C8" s="3">
        <v>2109.38</v>
      </c>
      <c r="D8" s="3">
        <v>1605.6880000000001</v>
      </c>
      <c r="E8" s="3">
        <v>77120</v>
      </c>
      <c r="F8" s="3">
        <v>304.28504499999997</v>
      </c>
      <c r="G8" s="3">
        <v>369.495026</v>
      </c>
      <c r="H8" s="3">
        <f t="shared" si="0"/>
        <v>82.351594362193111</v>
      </c>
      <c r="I8" s="3">
        <v>1194.704</v>
      </c>
      <c r="J8" s="3"/>
      <c r="K8" s="3">
        <v>1194.704</v>
      </c>
      <c r="L8" s="3">
        <v>31.949929724999997</v>
      </c>
      <c r="M8" s="3">
        <v>7.2469421590000014</v>
      </c>
      <c r="N8" s="3">
        <v>0</v>
      </c>
      <c r="O8" s="3">
        <v>39.196871884000004</v>
      </c>
      <c r="P8" s="3">
        <v>53.551908400000002</v>
      </c>
      <c r="Q8" s="3">
        <f t="shared" si="1"/>
        <v>73.194164419358017</v>
      </c>
    </row>
    <row r="9" spans="1:17" ht="19.899999999999999" customHeight="1" x14ac:dyDescent="0.25">
      <c r="A9" s="8">
        <v>44743</v>
      </c>
      <c r="B9" s="2">
        <v>514</v>
      </c>
      <c r="C9" s="2">
        <v>2229.04</v>
      </c>
      <c r="D9" s="2">
        <v>1696.914</v>
      </c>
      <c r="E9" s="2">
        <v>84989</v>
      </c>
      <c r="F9" s="2">
        <v>327.89398700000004</v>
      </c>
      <c r="G9" s="2">
        <v>389.16181800000004</v>
      </c>
      <c r="H9" s="5">
        <f t="shared" si="0"/>
        <v>84.256463978179895</v>
      </c>
      <c r="I9" s="2">
        <v>1277.7650000000001</v>
      </c>
      <c r="J9" s="2"/>
      <c r="K9" s="2">
        <v>1277.7650000000001</v>
      </c>
      <c r="L9" s="2">
        <v>34.428868635000008</v>
      </c>
      <c r="M9" s="2">
        <v>7.6847168530000021</v>
      </c>
      <c r="N9" s="2">
        <v>0</v>
      </c>
      <c r="O9" s="5">
        <v>42.113585488000012</v>
      </c>
      <c r="P9" s="2">
        <v>42.420337199999999</v>
      </c>
      <c r="Q9" s="2">
        <f t="shared" si="1"/>
        <v>99.276875828323242</v>
      </c>
    </row>
    <row r="10" spans="1:17" ht="19.899999999999999" customHeight="1" x14ac:dyDescent="0.25">
      <c r="A10" s="8">
        <v>44774</v>
      </c>
      <c r="B10" s="3">
        <v>578</v>
      </c>
      <c r="C10" s="3">
        <v>2501.2800000000002</v>
      </c>
      <c r="D10" s="3">
        <v>1906.598</v>
      </c>
      <c r="E10" s="3">
        <v>92720</v>
      </c>
      <c r="F10" s="3">
        <v>347.20930499999997</v>
      </c>
      <c r="G10" s="3">
        <v>424.85127399999999</v>
      </c>
      <c r="H10" s="3">
        <f t="shared" si="0"/>
        <v>81.724906160926324</v>
      </c>
      <c r="I10" s="3">
        <v>1207.374</v>
      </c>
      <c r="J10" s="3"/>
      <c r="K10" s="3">
        <v>1207.374</v>
      </c>
      <c r="L10" s="3">
        <v>36.456977025</v>
      </c>
      <c r="M10" s="3">
        <v>7.0867491080000002</v>
      </c>
      <c r="N10" s="3">
        <v>0</v>
      </c>
      <c r="O10" s="3">
        <v>43.543726133000007</v>
      </c>
      <c r="P10" s="3">
        <v>49.669777199999999</v>
      </c>
      <c r="Q10" s="3">
        <f t="shared" si="1"/>
        <v>87.666441421041867</v>
      </c>
    </row>
    <row r="11" spans="1:17" ht="19.899999999999999" customHeight="1" x14ac:dyDescent="0.25">
      <c r="A11" s="8">
        <v>44805</v>
      </c>
      <c r="B11" s="2">
        <v>572</v>
      </c>
      <c r="C11" s="2">
        <v>2464.08</v>
      </c>
      <c r="D11" s="2">
        <v>1863.8440000000001</v>
      </c>
      <c r="E11" s="2">
        <v>92524</v>
      </c>
      <c r="F11" s="2">
        <v>337.49554000000001</v>
      </c>
      <c r="G11" s="2">
        <v>413.57324</v>
      </c>
      <c r="H11" s="5">
        <f t="shared" si="0"/>
        <v>81.604781779401392</v>
      </c>
      <c r="I11" s="2">
        <v>1278.104</v>
      </c>
      <c r="J11" s="2">
        <v>22.29</v>
      </c>
      <c r="K11" s="2">
        <v>1300.394</v>
      </c>
      <c r="L11" s="2">
        <v>35.437031699999999</v>
      </c>
      <c r="M11" s="2">
        <v>7.6991215639999995</v>
      </c>
      <c r="N11" s="2">
        <v>0.12226995499999999</v>
      </c>
      <c r="O11" s="5">
        <v>43.258423219000001</v>
      </c>
      <c r="P11" s="2">
        <v>57.881537600000001</v>
      </c>
      <c r="Q11" s="2">
        <f t="shared" si="1"/>
        <v>74.736133511076602</v>
      </c>
    </row>
    <row r="12" spans="1:17" ht="19.899999999999999" customHeight="1" x14ac:dyDescent="0.25">
      <c r="A12" s="8">
        <v>44835</v>
      </c>
      <c r="B12" s="3">
        <v>696</v>
      </c>
      <c r="C12" s="3">
        <v>2884.54</v>
      </c>
      <c r="D12" s="3">
        <v>2176.7809999999999</v>
      </c>
      <c r="E12" s="3">
        <v>107811</v>
      </c>
      <c r="F12" s="3">
        <v>376.03482100000002</v>
      </c>
      <c r="G12" s="3">
        <v>469.26088599999997</v>
      </c>
      <c r="H12" s="3">
        <f t="shared" si="0"/>
        <v>80.133425183875232</v>
      </c>
      <c r="I12" s="3">
        <v>1299.3820000000001</v>
      </c>
      <c r="J12" s="3">
        <v>36.6965</v>
      </c>
      <c r="K12" s="3">
        <v>1336.0785000000001</v>
      </c>
      <c r="L12" s="3">
        <v>39.483656205000003</v>
      </c>
      <c r="M12" s="3">
        <v>7.7234903780000002</v>
      </c>
      <c r="N12" s="3">
        <v>0.20835200679999999</v>
      </c>
      <c r="O12" s="3">
        <v>47.415498589800002</v>
      </c>
      <c r="P12" s="3">
        <v>56.769766000000004</v>
      </c>
      <c r="Q12" s="3">
        <f t="shared" si="1"/>
        <v>83.522448533256238</v>
      </c>
    </row>
    <row r="13" spans="1:17" ht="19.899999999999999" customHeight="1" x14ac:dyDescent="0.25">
      <c r="A13" s="8">
        <v>44866</v>
      </c>
      <c r="B13" s="2">
        <v>742</v>
      </c>
      <c r="C13" s="2">
        <v>3137.93</v>
      </c>
      <c r="D13" s="2">
        <v>2372.0419999999999</v>
      </c>
      <c r="E13" s="2">
        <v>115848</v>
      </c>
      <c r="F13" s="2">
        <v>418.45034700000002</v>
      </c>
      <c r="G13" s="2">
        <v>528.12650800000006</v>
      </c>
      <c r="H13" s="5">
        <f t="shared" si="0"/>
        <v>79.232975558197126</v>
      </c>
      <c r="I13" s="2">
        <v>1274.2738999999999</v>
      </c>
      <c r="J13" s="2">
        <v>38.316099999999999</v>
      </c>
      <c r="K13" s="2">
        <v>1312.59</v>
      </c>
      <c r="L13" s="2">
        <v>43.937286434999997</v>
      </c>
      <c r="M13" s="2">
        <v>5.3954949093508811</v>
      </c>
      <c r="N13" s="2">
        <v>1.0145483161000002</v>
      </c>
      <c r="O13" s="5">
        <v>50.347329660450882</v>
      </c>
      <c r="P13" s="2">
        <v>63.490215200000002</v>
      </c>
      <c r="Q13" s="2">
        <f t="shared" si="1"/>
        <v>79.299352666945893</v>
      </c>
    </row>
    <row r="14" spans="1:17" ht="19.899999999999999" customHeight="1" x14ac:dyDescent="0.25">
      <c r="A14" s="8">
        <v>44896</v>
      </c>
      <c r="B14" s="3">
        <v>916</v>
      </c>
      <c r="C14" s="3">
        <v>3854.55</v>
      </c>
      <c r="D14" s="3">
        <v>2882.308</v>
      </c>
      <c r="E14" s="3">
        <v>147340</v>
      </c>
      <c r="F14" s="3">
        <v>526.992931</v>
      </c>
      <c r="G14" s="3">
        <v>631.91778799999997</v>
      </c>
      <c r="H14" s="3">
        <f t="shared" si="0"/>
        <v>83.395805753136983</v>
      </c>
      <c r="I14" s="3">
        <v>1456.5724499999999</v>
      </c>
      <c r="J14" s="3">
        <v>36.782200000000003</v>
      </c>
      <c r="K14" s="3">
        <v>1493.35465</v>
      </c>
      <c r="L14" s="3">
        <v>55.334257754999982</v>
      </c>
      <c r="M14" s="3">
        <v>5.3916434258764294</v>
      </c>
      <c r="N14" s="3">
        <v>0.20765442529999989</v>
      </c>
      <c r="O14" s="3">
        <v>60.933555606176412</v>
      </c>
      <c r="P14" s="3">
        <v>71.316202400000009</v>
      </c>
      <c r="Q14" s="3">
        <f t="shared" si="1"/>
        <v>85.441391374726933</v>
      </c>
    </row>
    <row r="15" spans="1:17" ht="19.899999999999999" customHeight="1" x14ac:dyDescent="0.25">
      <c r="A15" s="8">
        <v>44927</v>
      </c>
      <c r="B15" s="2">
        <v>938</v>
      </c>
      <c r="C15" s="2">
        <v>3924.8833333333332</v>
      </c>
      <c r="D15" s="2">
        <v>2914.424</v>
      </c>
      <c r="E15" s="2">
        <v>144833</v>
      </c>
      <c r="F15" s="2">
        <v>523.41540500000008</v>
      </c>
      <c r="G15" s="2">
        <v>634.92396699999995</v>
      </c>
      <c r="H15" s="5">
        <f t="shared" si="0"/>
        <v>82.437493653472387</v>
      </c>
      <c r="I15" s="2">
        <v>1575.4079999999999</v>
      </c>
      <c r="J15" s="2">
        <v>28.563700000000001</v>
      </c>
      <c r="K15" s="2">
        <v>1603.9716999999998</v>
      </c>
      <c r="L15" s="2">
        <v>54.958617525000015</v>
      </c>
      <c r="M15" s="2">
        <v>8.9672374473462568</v>
      </c>
      <c r="N15" s="2">
        <v>0.13761024979999997</v>
      </c>
      <c r="O15" s="5">
        <v>64.063465222146263</v>
      </c>
      <c r="P15" s="2">
        <v>85.143266599999976</v>
      </c>
      <c r="Q15" s="2">
        <f t="shared" si="1"/>
        <v>75.241963082194317</v>
      </c>
    </row>
    <row r="16" spans="1:17" ht="19.899999999999999" customHeight="1" x14ac:dyDescent="0.25">
      <c r="A16" s="8">
        <v>44958</v>
      </c>
      <c r="B16" s="3">
        <v>846</v>
      </c>
      <c r="C16" s="3">
        <v>3384</v>
      </c>
      <c r="D16" s="3">
        <v>2624.8879999999999</v>
      </c>
      <c r="E16" s="3">
        <v>139056</v>
      </c>
      <c r="F16" s="3">
        <v>497.92516799999999</v>
      </c>
      <c r="G16" s="3">
        <v>572.09754399999997</v>
      </c>
      <c r="H16" s="3">
        <f t="shared" si="0"/>
        <v>87.035012336987066</v>
      </c>
      <c r="I16" s="3">
        <v>1828.75</v>
      </c>
      <c r="J16" s="3">
        <v>15.9899</v>
      </c>
      <c r="K16" s="3">
        <v>1844.7399</v>
      </c>
      <c r="L16" s="3">
        <v>52.282142639999996</v>
      </c>
      <c r="M16" s="3">
        <v>8.7590491073462591</v>
      </c>
      <c r="N16" s="3">
        <v>0.13656828659999998</v>
      </c>
      <c r="O16" s="3">
        <v>61.177760033946257</v>
      </c>
      <c r="P16" s="3">
        <v>67.929392199999995</v>
      </c>
      <c r="Q16" s="3">
        <f t="shared" si="1"/>
        <v>90.060808808394228</v>
      </c>
    </row>
    <row r="17" spans="1:17" ht="19.899999999999999" customHeight="1" x14ac:dyDescent="0.25">
      <c r="A17" s="8">
        <v>44986</v>
      </c>
      <c r="B17" s="2">
        <v>1046</v>
      </c>
      <c r="C17" s="2">
        <v>4240.7</v>
      </c>
      <c r="D17" s="2">
        <v>3161.8670000000002</v>
      </c>
      <c r="E17" s="2">
        <v>167254</v>
      </c>
      <c r="F17" s="2">
        <v>564.14285600000005</v>
      </c>
      <c r="G17" s="2">
        <v>677.26856799999996</v>
      </c>
      <c r="H17" s="5">
        <f t="shared" ref="H17" si="2">F17/G17*100</f>
        <v>83.296772160257717</v>
      </c>
      <c r="I17" s="2">
        <v>1300.8512000000001</v>
      </c>
      <c r="J17" s="2">
        <v>28.234000000000002</v>
      </c>
      <c r="K17" s="2">
        <v>1329.0852</v>
      </c>
      <c r="L17" s="2">
        <v>59.234999880000011</v>
      </c>
      <c r="M17" s="2">
        <v>7.3872138133132585</v>
      </c>
      <c r="N17" s="2">
        <v>6.0687079699999986E-2</v>
      </c>
      <c r="O17" s="5">
        <v>66.682900773013273</v>
      </c>
      <c r="P17" s="2">
        <v>89.563170063999991</v>
      </c>
      <c r="Q17" s="2">
        <f t="shared" ref="Q17" si="3">O17/P17*100</f>
        <v>74.453484312092854</v>
      </c>
    </row>
    <row r="18" spans="1:17" ht="19.899999999999999" customHeight="1" x14ac:dyDescent="0.25">
      <c r="A18" s="9" t="s">
        <v>22</v>
      </c>
      <c r="B18" s="1">
        <f>SUM(B6:B17)</f>
        <v>8160</v>
      </c>
      <c r="C18" s="1">
        <f t="shared" ref="C18:G18" si="4">SUM(C6:C17)</f>
        <v>34525.013333333329</v>
      </c>
      <c r="D18" s="1">
        <f t="shared" si="4"/>
        <v>26095.367999999995</v>
      </c>
      <c r="E18" s="1">
        <f>SUM(E6:E17)</f>
        <v>1292074</v>
      </c>
      <c r="F18" s="1">
        <f t="shared" si="4"/>
        <v>4727.1280210000004</v>
      </c>
      <c r="G18" s="1">
        <f t="shared" si="4"/>
        <v>5781.7993409999999</v>
      </c>
      <c r="H18" s="7">
        <f>F18/G18*100</f>
        <v>81.758769929611788</v>
      </c>
      <c r="I18" s="1">
        <f t="shared" ref="I18:P18" si="5">SUM(I6:I17)</f>
        <v>15955.287550000001</v>
      </c>
      <c r="J18" s="1">
        <f t="shared" si="5"/>
        <v>206.87240000000003</v>
      </c>
      <c r="K18" s="1">
        <f t="shared" si="5"/>
        <v>16162.159949999999</v>
      </c>
      <c r="L18" s="1">
        <f t="shared" si="5"/>
        <v>496.34844220500003</v>
      </c>
      <c r="M18" s="1">
        <f t="shared" si="5"/>
        <v>87.000271611233089</v>
      </c>
      <c r="N18" s="1">
        <f t="shared" si="5"/>
        <v>1.8876903193000001</v>
      </c>
      <c r="O18" s="6">
        <f>SUM(O6:O17)</f>
        <v>585.23640413553312</v>
      </c>
      <c r="P18" s="1">
        <f t="shared" si="5"/>
        <v>737.177423664</v>
      </c>
      <c r="Q18" s="1">
        <f>O18/P18*100</f>
        <v>79.388812699489222</v>
      </c>
    </row>
    <row r="19" spans="1:17" ht="19.899999999999999" customHeight="1" x14ac:dyDescent="0.25">
      <c r="A19" s="10" t="s">
        <v>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2021-09-15T01:37:34Z</cp:lastPrinted>
  <dcterms:created xsi:type="dcterms:W3CDTF">2020-05-22T09:14:10Z</dcterms:created>
  <dcterms:modified xsi:type="dcterms:W3CDTF">2023-09-22T11:26:16Z</dcterms:modified>
</cp:coreProperties>
</file>