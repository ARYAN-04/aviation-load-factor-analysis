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ALLIANCE AIR (NATIONAL)\"/>
    </mc:Choice>
  </mc:AlternateContent>
  <bookViews>
    <workbookView xWindow="0" yWindow="0" windowWidth="24000" windowHeight="9435"/>
  </bookViews>
  <sheets>
    <sheet name="ALLIANCE AIR" sheetId="1" r:id="rId1"/>
  </sheets>
  <definedNames>
    <definedName name="_xlnm.Print_Area" localSheetId="0">'ALLIANCE AIR'!$A$1:$Q$19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1" l="1"/>
  <c r="H17" i="1"/>
  <c r="H6" i="1" l="1"/>
  <c r="Q6" i="1"/>
  <c r="Q7" i="1" l="1"/>
  <c r="Q8" i="1"/>
  <c r="Q9" i="1"/>
  <c r="Q10" i="1"/>
  <c r="Q11" i="1"/>
  <c r="Q12" i="1"/>
  <c r="Q13" i="1"/>
  <c r="Q14" i="1"/>
  <c r="Q15" i="1"/>
  <c r="Q16" i="1"/>
  <c r="H7" i="1"/>
  <c r="H8" i="1"/>
  <c r="H9" i="1"/>
  <c r="H10" i="1"/>
  <c r="H11" i="1"/>
  <c r="H12" i="1"/>
  <c r="H13" i="1"/>
  <c r="H14" i="1"/>
  <c r="H15" i="1"/>
  <c r="H16" i="1"/>
  <c r="I18" i="1" l="1"/>
  <c r="J18" i="1"/>
  <c r="K18" i="1"/>
  <c r="L18" i="1"/>
  <c r="M18" i="1"/>
  <c r="N18" i="1"/>
  <c r="O18" i="1"/>
  <c r="P18" i="1"/>
  <c r="C18" i="1"/>
  <c r="D18" i="1"/>
  <c r="E18" i="1"/>
  <c r="F18" i="1"/>
  <c r="G18" i="1"/>
  <c r="B18" i="1"/>
  <c r="H18" i="1" l="1"/>
  <c r="Q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<sst xmlns="http://schemas.openxmlformats.org/spreadsheetml/2006/main" count="26" uniqueCount="24">
  <si>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</si>
  <si>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</si>
  <si>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</si>
  <si>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</si>
  <si>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</si>
  <si>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</si>
  <si>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</si>
  <si>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</si>
  <si>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</si>
  <si>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</si>
  <si>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</si>
  <si>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</si>
  <si>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</si>
  <si>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</si>
  <si>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</si>
  <si>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</si>
  <si>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</si>
  <si>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</si>
  <si>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</si>
  <si>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(एलाइंस एयर) </t>
  </si>
  <si>
    <t>Table 1.01 (ALLIANCE AIR)</t>
  </si>
  <si>
    <t>SOURCE:-  ICAO ATR FORM 'A' FURNISHED BY ALLIANCE AIR</t>
  </si>
  <si>
    <t>2023-24</t>
  </si>
  <si>
    <t>MONTHLY TRAFFIC AND OPERATING STATISTICS OF ALLIANCE AIR ON SCHEDULED DOMESTIC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</si>
</sst>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4">
    <xf numFmtId="0" fontId="0" fillId="0" borderId="0" xfId="0"/>
    <xf numFmtId="0" fontId="0" fillId="0" borderId="0" xfId="0" applyFont="1"/>
    <xf numFmtId="0" fontId="4" fillId="4" borderId="1" xfId="3" applyFont="1" applyBorder="1" applyAlignment="1" applyProtection="1">
      <alignment horizontal="center" vertical="center" wrapText="1"/>
    </xf>
    <xf numFmtId="164" fontId="3" fillId="4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43" fontId="3" fillId="4" borderId="1" xfId="3" applyNumberFormat="1" applyBorder="1" applyAlignment="1">
      <alignment horizontal="right" vertical="center"/>
    </xf>
    <xf numFmtId="43" fontId="0" fillId="0" borderId="1" xfId="1" applyNumberFormat="1" applyFont="1" applyBorder="1" applyAlignment="1">
      <alignment horizontal="right" vertical="center"/>
    </xf>
    <xf numFmtId="4" fontId="4" fillId="4" borderId="1" xfId="3" applyNumberFormat="1" applyFont="1" applyBorder="1" applyAlignment="1" applyProtection="1">
      <alignment horizontal="right" vertical="center" wrapText="1"/>
    </xf>
    <xf numFmtId="167" fontId="0" fillId="4" borderId="1" xfId="3" applyNumberFormat="1" applyFont="1" applyBorder="1" applyAlignment="1" applyProtection="1">
      <alignment horizontal="center" vertical="center" wrapText="1"/>
    </xf>
    <xf numFmtId="167" fontId="3" fillId="5" borderId="1" xfId="3" applyNumberFormat="1" applyFont="1" applyFill="1" applyBorder="1" applyAlignment="1" applyProtection="1">
      <alignment horizontal="center" vertical="center" wrapText="1"/>
    </xf>
    <xf numFmtId="167" fontId="3" fillId="4" borderId="1" xfId="3" applyNumberFormat="1" applyFont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</sheetPr>
  <dimension ref="A1:Q19"/>
  <sheetViews>
    <sheetView tabSelected="1" view="pageBreakPreview" zoomScaleNormal="100" zoomScaleSheetLayoutView="100" workbookViewId="0">
      <selection activeCell="E14" sqref="E14"/>
    </sheetView>
  </sheetViews>
  <sheetFormatPr defaultColWidth="9.140625" defaultRowHeight="15" x14ac:dyDescent="0.25"/>
  <cols>
    <col min="1" max="1" width="13.5703125" style="1" customWidth="1"/>
    <col min="2" max="2" width="8.28515625" style="1" customWidth="1"/>
    <col min="3" max="3" width="7.85546875" style="1" customWidth="1"/>
    <col min="4" max="4" width="7.28515625" style="1" customWidth="1"/>
    <col min="5" max="5" width="10.28515625" style="1" customWidth="1"/>
    <col min="6" max="6" width="7" style="1" customWidth="1"/>
    <col min="7" max="7" width="8.42578125" style="1" customWidth="1"/>
    <col min="8" max="9" width="6.28515625" style="1" customWidth="1"/>
    <col min="10" max="10" width="6.5703125" style="1" customWidth="1"/>
    <col min="11" max="11" width="6.85546875" style="1" customWidth="1"/>
    <col min="12" max="12" width="7.85546875" style="1" customWidth="1"/>
    <col min="13" max="14" width="6.85546875" style="1" customWidth="1"/>
    <col min="15" max="15" width="7.7109375" style="1" customWidth="1"/>
    <col min="16" max="16" width="8.7109375" style="1" customWidth="1"/>
    <col min="17" max="17" width="8.140625" style="1" customWidth="1"/>
    <col min="18" max="16384" width="9.140625" style="1"/>
  </cols>
  <sheetData>
    <row r="1" spans="1:17" ht="20.100000000000001" customHeight="1" x14ac:dyDescent="0.25">
      <c r="A1" s="19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20.100000000000001" customHeight="1" x14ac:dyDescent="0.25">
      <c r="A2" s="20" t="s">
        <v>20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20.100000000000001" customHeight="1" x14ac:dyDescent="0.25">
      <c r="A3" s="22" t="s">
        <v>23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30" customHeight="1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7" t="s">
        <v>3</v>
      </c>
      <c r="H4" s="17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7" t="s">
        <v>7</v>
      </c>
      <c r="Q4" s="17" t="s">
        <v>8</v>
      </c>
    </row>
    <row r="5" spans="1:17" ht="114" customHeight="1" x14ac:dyDescent="0.25">
      <c r="A5" s="22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8"/>
      <c r="H5" s="18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8"/>
      <c r="Q5" s="18"/>
    </row>
    <row r="6" spans="1:17" ht="16.5" customHeight="1" x14ac:dyDescent="0.25">
      <c r="A6" s="13">
        <v>45017</v>
      </c>
      <c r="B6" s="3">
        <v>3392</v>
      </c>
      <c r="C6" s="3">
        <v>4508</v>
      </c>
      <c r="D6" s="3">
        <v>1266.3820000000001</v>
      </c>
      <c r="E6" s="3">
        <v>141648</v>
      </c>
      <c r="F6" s="3">
        <v>56.181264999999996</v>
      </c>
      <c r="G6" s="3">
        <v>81.080620999999994</v>
      </c>
      <c r="H6" s="6">
        <f t="shared" ref="H6:H17" si="0">F6/G6*100</f>
        <v>69.290620011408151</v>
      </c>
      <c r="I6" s="6">
        <v>19.82</v>
      </c>
      <c r="J6" s="6">
        <v>17.646000000000001</v>
      </c>
      <c r="K6" s="6">
        <v>37.466000000000001</v>
      </c>
      <c r="L6" s="6">
        <v>5.1124951000000003</v>
      </c>
      <c r="M6" s="10">
        <v>1.9820999999999995E-2</v>
      </c>
      <c r="N6" s="6">
        <v>1.7646000000000002E-2</v>
      </c>
      <c r="O6" s="6">
        <v>5.1499620999999998</v>
      </c>
      <c r="P6" s="6">
        <v>8.3102236000000005</v>
      </c>
      <c r="Q6" s="6">
        <f t="shared" ref="Q6:Q18" si="1">O6/P6*100</f>
        <v>61.971402309800659</v>
      </c>
    </row>
    <row r="7" spans="1:17" ht="18" customHeight="1" x14ac:dyDescent="0.25">
      <c r="A7" s="14">
        <v>45047</v>
      </c>
      <c r="B7" s="4">
        <v>3708</v>
      </c>
      <c r="C7" s="4">
        <v>5025</v>
      </c>
      <c r="D7" s="4">
        <v>1406.74</v>
      </c>
      <c r="E7" s="4">
        <v>184966</v>
      </c>
      <c r="F7" s="4">
        <v>74.060872000000003</v>
      </c>
      <c r="G7" s="4">
        <v>92.250479000000013</v>
      </c>
      <c r="H7" s="7">
        <f t="shared" si="0"/>
        <v>80.282371216739151</v>
      </c>
      <c r="I7" s="7">
        <v>10.577999999999999</v>
      </c>
      <c r="J7" s="7">
        <v>13.692999999999998</v>
      </c>
      <c r="K7" s="7">
        <v>24.270999999999997</v>
      </c>
      <c r="L7" s="7">
        <v>6.7395393520000022</v>
      </c>
      <c r="M7" s="11">
        <v>4.6512835295727702E-3</v>
      </c>
      <c r="N7" s="7">
        <v>6.2080616712158936E-3</v>
      </c>
      <c r="O7" s="7">
        <v>6.750398697200791</v>
      </c>
      <c r="P7" s="7">
        <v>9.2017332000000014</v>
      </c>
      <c r="Q7" s="7">
        <f t="shared" si="1"/>
        <v>73.360078481745049</v>
      </c>
    </row>
    <row r="8" spans="1:17" ht="12.75" customHeight="1" x14ac:dyDescent="0.25">
      <c r="A8" s="15">
        <v>45078</v>
      </c>
      <c r="B8" s="3">
        <v>3165</v>
      </c>
      <c r="C8" s="3">
        <v>4303</v>
      </c>
      <c r="D8" s="3">
        <v>1225.92</v>
      </c>
      <c r="E8" s="3">
        <v>144033</v>
      </c>
      <c r="F8" s="3">
        <v>58.587737000000004</v>
      </c>
      <c r="G8" s="3">
        <v>79.738923999999997</v>
      </c>
      <c r="H8" s="6">
        <f t="shared" si="0"/>
        <v>73.474451448579885</v>
      </c>
      <c r="I8" s="6">
        <v>11.874000000000002</v>
      </c>
      <c r="J8" s="6">
        <v>9.4669999999999987</v>
      </c>
      <c r="K8" s="6">
        <v>21.341000000000001</v>
      </c>
      <c r="L8" s="6">
        <v>5.3314840669999981</v>
      </c>
      <c r="M8" s="10">
        <v>5.138511917792252E-3</v>
      </c>
      <c r="N8" s="6">
        <v>4.4827771346996692E-3</v>
      </c>
      <c r="O8" s="6">
        <v>5.3411053560524904</v>
      </c>
      <c r="P8" s="6">
        <v>7.9861608000000013</v>
      </c>
      <c r="Q8" s="6">
        <f t="shared" si="1"/>
        <v>66.879511818150334</v>
      </c>
    </row>
    <row r="9" spans="1:17" ht="15.75" customHeight="1" x14ac:dyDescent="0.25">
      <c r="A9" s="14">
        <v>45108</v>
      </c>
      <c r="B9" s="4">
        <v>2956</v>
      </c>
      <c r="C9" s="4">
        <v>4032</v>
      </c>
      <c r="D9" s="4">
        <v>1144.864</v>
      </c>
      <c r="E9" s="4">
        <v>123706</v>
      </c>
      <c r="F9" s="4">
        <v>50.629716000000002</v>
      </c>
      <c r="G9" s="4">
        <v>74.161581000000012</v>
      </c>
      <c r="H9" s="7">
        <f t="shared" si="0"/>
        <v>68.269466909018561</v>
      </c>
      <c r="I9" s="7">
        <v>12.536999999999999</v>
      </c>
      <c r="J9" s="7">
        <v>3.9580000000000002</v>
      </c>
      <c r="K9" s="7">
        <v>16.494999999999997</v>
      </c>
      <c r="L9" s="7">
        <v>4.6073041560000023</v>
      </c>
      <c r="M9" s="11">
        <v>5.6021394391029258E-3</v>
      </c>
      <c r="N9" s="7">
        <v>9.018050000000001E-4</v>
      </c>
      <c r="O9" s="7">
        <v>4.6138081004391047</v>
      </c>
      <c r="P9" s="7">
        <v>7.4413900000000002</v>
      </c>
      <c r="Q9" s="7">
        <f t="shared" si="1"/>
        <v>62.001966036440834</v>
      </c>
    </row>
    <row r="10" spans="1:17" ht="18" customHeight="1" x14ac:dyDescent="0.25">
      <c r="A10" s="15">
        <v>45139</v>
      </c>
      <c r="B10" s="3">
        <v>2906</v>
      </c>
      <c r="C10" s="3">
        <v>3910</v>
      </c>
      <c r="D10" s="3">
        <v>1110.7809999999999</v>
      </c>
      <c r="E10" s="3">
        <v>124526</v>
      </c>
      <c r="F10" s="3">
        <v>50.562014000000005</v>
      </c>
      <c r="G10" s="3">
        <v>72.269417000000004</v>
      </c>
      <c r="H10" s="6">
        <f t="shared" si="0"/>
        <v>69.963223862730203</v>
      </c>
      <c r="I10" s="6">
        <v>30.451000000000001</v>
      </c>
      <c r="J10" s="6">
        <v>5.992</v>
      </c>
      <c r="K10" s="6">
        <v>36.442999999999998</v>
      </c>
      <c r="L10" s="6">
        <v>4.601143274</v>
      </c>
      <c r="M10" s="10">
        <v>1.2898173898163069E-2</v>
      </c>
      <c r="N10" s="6">
        <v>2.5649739562530641E-3</v>
      </c>
      <c r="O10" s="6">
        <v>4.6166064218544163</v>
      </c>
      <c r="P10" s="6">
        <v>7.2283227999999999</v>
      </c>
      <c r="Q10" s="6">
        <f t="shared" si="1"/>
        <v>63.868293511385744</v>
      </c>
    </row>
    <row r="11" spans="1:17" ht="15" customHeight="1" x14ac:dyDescent="0.25">
      <c r="A11" s="14">
        <v>45170</v>
      </c>
      <c r="B11" s="4">
        <v>2880</v>
      </c>
      <c r="C11" s="4">
        <v>3845</v>
      </c>
      <c r="D11" s="4">
        <v>1072.3140000000001</v>
      </c>
      <c r="E11" s="4">
        <v>119632</v>
      </c>
      <c r="F11" s="4">
        <v>48.241523000000001</v>
      </c>
      <c r="G11" s="4">
        <v>70.317918999999989</v>
      </c>
      <c r="H11" s="7">
        <f t="shared" si="0"/>
        <v>68.60487865120129</v>
      </c>
      <c r="I11" s="7">
        <v>24.978000000000005</v>
      </c>
      <c r="J11" s="7">
        <v>3.734</v>
      </c>
      <c r="K11" s="7">
        <v>28.712000000000003</v>
      </c>
      <c r="L11" s="7">
        <v>4.3899785929999977</v>
      </c>
      <c r="M11" s="11">
        <v>1.1110028417417444E-2</v>
      </c>
      <c r="N11" s="7">
        <v>1.589193E-3</v>
      </c>
      <c r="O11" s="7">
        <v>4.402677814417415</v>
      </c>
      <c r="P11" s="7">
        <v>7.0143591999999995</v>
      </c>
      <c r="Q11" s="7">
        <f t="shared" si="1"/>
        <v>62.766643236882068</v>
      </c>
    </row>
    <row r="12" spans="1:17" ht="16.5" customHeight="1" x14ac:dyDescent="0.25">
      <c r="A12" s="15">
        <v>45200</v>
      </c>
      <c r="B12" s="3">
        <v>2973</v>
      </c>
      <c r="C12" s="3">
        <v>4017</v>
      </c>
      <c r="D12" s="3">
        <v>1128.028</v>
      </c>
      <c r="E12" s="3">
        <v>129759</v>
      </c>
      <c r="F12" s="3">
        <v>53.137492000000002</v>
      </c>
      <c r="G12" s="3">
        <v>74.085689000000002</v>
      </c>
      <c r="H12" s="6">
        <f t="shared" si="0"/>
        <v>71.724367711556283</v>
      </c>
      <c r="I12" s="6">
        <v>24.302999999999994</v>
      </c>
      <c r="J12" s="6">
        <v>7.4010000000000007</v>
      </c>
      <c r="K12" s="6">
        <v>31.703999999999994</v>
      </c>
      <c r="L12" s="6">
        <v>4.8355117719999967</v>
      </c>
      <c r="M12" s="10">
        <v>1.1150503024006062E-2</v>
      </c>
      <c r="N12" s="6">
        <v>3.5779689999999994E-3</v>
      </c>
      <c r="O12" s="6">
        <v>4.8502402440240031</v>
      </c>
      <c r="P12" s="6">
        <v>7.3605584000000031</v>
      </c>
      <c r="Q12" s="6">
        <f t="shared" si="1"/>
        <v>65.895003890248333</v>
      </c>
    </row>
    <row r="13" spans="1:17" ht="17.25" customHeight="1" x14ac:dyDescent="0.25">
      <c r="A13" s="14">
        <v>45231</v>
      </c>
      <c r="B13" s="4">
        <v>2759</v>
      </c>
      <c r="C13" s="4">
        <v>3706</v>
      </c>
      <c r="D13" s="4">
        <v>1031.894</v>
      </c>
      <c r="E13" s="4">
        <v>123592</v>
      </c>
      <c r="F13" s="4">
        <v>50.002641000000004</v>
      </c>
      <c r="G13" s="4">
        <v>68.511676999999992</v>
      </c>
      <c r="H13" s="7">
        <f t="shared" si="0"/>
        <v>72.984114810092905</v>
      </c>
      <c r="I13" s="7">
        <v>14.195</v>
      </c>
      <c r="J13" s="7">
        <v>4.4770000000000003</v>
      </c>
      <c r="K13" s="7">
        <v>18.672000000000001</v>
      </c>
      <c r="L13" s="7">
        <v>4.550240331000003</v>
      </c>
      <c r="M13" s="11">
        <v>6.7395836595930524E-3</v>
      </c>
      <c r="N13" s="7">
        <v>1.8731376666666669E-3</v>
      </c>
      <c r="O13" s="7">
        <v>4.5588530523262625</v>
      </c>
      <c r="P13" s="7">
        <v>6.8083672000000011</v>
      </c>
      <c r="Q13" s="7">
        <f t="shared" si="1"/>
        <v>66.959564876675003</v>
      </c>
    </row>
    <row r="14" spans="1:17" ht="14.25" customHeight="1" x14ac:dyDescent="0.25">
      <c r="A14" s="15">
        <v>45261</v>
      </c>
      <c r="B14" s="3">
        <v>2804</v>
      </c>
      <c r="C14" s="3">
        <v>3779</v>
      </c>
      <c r="D14" s="3">
        <v>1056.7249999999999</v>
      </c>
      <c r="E14" s="3">
        <v>130927</v>
      </c>
      <c r="F14" s="3">
        <v>53.599753</v>
      </c>
      <c r="G14" s="3">
        <v>69.571361666666661</v>
      </c>
      <c r="H14" s="6">
        <f t="shared" si="0"/>
        <v>77.042840208891519</v>
      </c>
      <c r="I14" s="6">
        <v>10.563000000000001</v>
      </c>
      <c r="J14" s="6">
        <v>4.301000000000001</v>
      </c>
      <c r="K14" s="6">
        <v>14.864000000000001</v>
      </c>
      <c r="L14" s="6">
        <v>4.8775775000000001</v>
      </c>
      <c r="M14" s="10">
        <v>5.0684771694411357E-3</v>
      </c>
      <c r="N14" s="6">
        <v>1.8425189999999999E-3</v>
      </c>
      <c r="O14" s="6">
        <v>4.8844884961694417</v>
      </c>
      <c r="P14" s="6">
        <v>6.8912999999999949</v>
      </c>
      <c r="Q14" s="6">
        <f t="shared" si="1"/>
        <v>70.879057596816935</v>
      </c>
    </row>
    <row r="15" spans="1:17" ht="15.75" customHeight="1" x14ac:dyDescent="0.25">
      <c r="A15" s="14">
        <v>45292</v>
      </c>
      <c r="B15" s="4">
        <v>2712</v>
      </c>
      <c r="C15" s="4">
        <v>3648</v>
      </c>
      <c r="D15" s="4">
        <v>1016.259</v>
      </c>
      <c r="E15" s="4">
        <v>132650</v>
      </c>
      <c r="F15" s="4">
        <v>53.130558999999998</v>
      </c>
      <c r="G15" s="4">
        <v>66.318095</v>
      </c>
      <c r="H15" s="7">
        <f t="shared" si="0"/>
        <v>80.114724344841321</v>
      </c>
      <c r="I15" s="7">
        <v>10.971000000000002</v>
      </c>
      <c r="J15" s="7">
        <v>2.516</v>
      </c>
      <c r="K15" s="7">
        <v>13.487000000000002</v>
      </c>
      <c r="L15" s="7">
        <v>4.8348808690000018</v>
      </c>
      <c r="M15" s="11">
        <v>5.4699901810589526E-3</v>
      </c>
      <c r="N15" s="7">
        <v>1.0866809999999999E-3</v>
      </c>
      <c r="O15" s="7">
        <v>4.8414375401810599</v>
      </c>
      <c r="P15" s="7">
        <v>6.722751199999994</v>
      </c>
      <c r="Q15" s="7">
        <f t="shared" si="1"/>
        <v>72.015717912944098</v>
      </c>
    </row>
    <row r="16" spans="1:17" ht="14.25" customHeight="1" x14ac:dyDescent="0.25">
      <c r="A16" s="15">
        <v>45323</v>
      </c>
      <c r="B16" s="3">
        <v>2664</v>
      </c>
      <c r="C16" s="3">
        <v>3563</v>
      </c>
      <c r="D16" s="3">
        <v>994.00400000000002</v>
      </c>
      <c r="E16" s="3">
        <v>129279</v>
      </c>
      <c r="F16" s="3">
        <v>51.364544000000002</v>
      </c>
      <c r="G16" s="3">
        <v>64.966572999999997</v>
      </c>
      <c r="H16" s="6">
        <f t="shared" si="0"/>
        <v>79.063034462353443</v>
      </c>
      <c r="I16" s="6">
        <v>13.259</v>
      </c>
      <c r="J16" s="6">
        <v>0.252</v>
      </c>
      <c r="K16" s="6">
        <v>13.511000000000001</v>
      </c>
      <c r="L16" s="6">
        <v>4.6741735000000002</v>
      </c>
      <c r="M16" s="10">
        <v>6.3536259904761905E-3</v>
      </c>
      <c r="N16" s="6">
        <v>1.0256399999999999E-4</v>
      </c>
      <c r="O16" s="6">
        <v>4.6806296899904751</v>
      </c>
      <c r="P16" s="6">
        <v>6.5672351999999998</v>
      </c>
      <c r="Q16" s="6">
        <f t="shared" si="1"/>
        <v>71.272454045661021</v>
      </c>
    </row>
    <row r="17" spans="1:17" ht="15" customHeight="1" x14ac:dyDescent="0.25">
      <c r="A17" s="14">
        <v>45352</v>
      </c>
      <c r="B17" s="4">
        <v>2968</v>
      </c>
      <c r="C17" s="4">
        <v>3953</v>
      </c>
      <c r="D17" s="4">
        <v>1100.836</v>
      </c>
      <c r="E17" s="4">
        <v>140154</v>
      </c>
      <c r="F17" s="4">
        <v>55.778509</v>
      </c>
      <c r="G17" s="4">
        <v>71.425846000000007</v>
      </c>
      <c r="H17" s="7">
        <f t="shared" si="0"/>
        <v>78.092892312399059</v>
      </c>
      <c r="I17" s="7">
        <v>13.108000000000001</v>
      </c>
      <c r="J17" s="7">
        <v>0.22999999999999998</v>
      </c>
      <c r="K17" s="7">
        <v>13.338000000000001</v>
      </c>
      <c r="L17" s="7">
        <v>5.0758443</v>
      </c>
      <c r="M17" s="11">
        <v>6.3217560390011083E-3</v>
      </c>
      <c r="N17" s="7">
        <v>9.3609999999999993E-5</v>
      </c>
      <c r="O17" s="7">
        <v>5.0822596660390005</v>
      </c>
      <c r="P17" s="7">
        <v>7.2229087999999999</v>
      </c>
      <c r="Q17" s="7">
        <f t="shared" si="1"/>
        <v>70.363060184824704</v>
      </c>
    </row>
    <row r="18" spans="1:17" ht="15.75" customHeight="1" x14ac:dyDescent="0.25">
      <c r="A18" s="2" t="s">
        <v>22</v>
      </c>
      <c r="B18" s="5">
        <f>SUM(B6:B17)</f>
        <v>35887</v>
      </c>
      <c r="C18" s="5">
        <f t="shared" ref="C18:G18" si="2">SUM(C6:C17)</f>
        <v>48289</v>
      </c>
      <c r="D18" s="5">
        <f t="shared" si="2"/>
        <v>13554.747000000001</v>
      </c>
      <c r="E18" s="5">
        <f t="shared" si="2"/>
        <v>1624872</v>
      </c>
      <c r="F18" s="5">
        <f t="shared" si="2"/>
        <v>655.27662500000008</v>
      </c>
      <c r="G18" s="5">
        <f t="shared" si="2"/>
        <v>884.69818266666664</v>
      </c>
      <c r="H18" s="8">
        <f>F18/G18*100</f>
        <v>74.067816328599022</v>
      </c>
      <c r="I18" s="8">
        <f t="shared" ref="I18" si="3">SUM(I6:I17)</f>
        <v>196.637</v>
      </c>
      <c r="J18" s="8">
        <f t="shared" ref="J18" si="4">SUM(J6:J17)</f>
        <v>73.667000000000002</v>
      </c>
      <c r="K18" s="8">
        <f t="shared" ref="K18" si="5">SUM(K6:K17)</f>
        <v>270.30400000000003</v>
      </c>
      <c r="L18" s="8">
        <f t="shared" ref="L18" si="6">SUM(L6:L17)</f>
        <v>59.630172814000005</v>
      </c>
      <c r="M18" s="12">
        <f t="shared" ref="M18" si="7">SUM(M6:M17)</f>
        <v>0.10032507326562495</v>
      </c>
      <c r="N18" s="8">
        <f t="shared" ref="N18" si="8">SUM(N6:N17)</f>
        <v>4.1969291428835299E-2</v>
      </c>
      <c r="O18" s="8">
        <f t="shared" ref="O18" si="9">SUM(O6:O17)</f>
        <v>59.772467178694463</v>
      </c>
      <c r="P18" s="8">
        <f t="shared" ref="P18" si="10">SUM(P6:P17)</f>
        <v>88.755310399999985</v>
      </c>
      <c r="Q18" s="8">
        <f t="shared" si="1"/>
        <v>67.345229157910168</v>
      </c>
    </row>
    <row r="19" spans="1:17" ht="15.75" customHeight="1" x14ac:dyDescent="0.25">
      <c r="A19" s="16" t="s">
        <v>21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ALLIANCE AIR</vt:lpstr>
      <vt:lpstr>'ALLIANCE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2022-04-25T11:50:51Z</cp:lastPrinted>
  <dcterms:created xsi:type="dcterms:W3CDTF">2018-10-29T04:00:07Z</dcterms:created>
  <dcterms:modified xsi:type="dcterms:W3CDTF">2025-01-24T06:44:41Z</dcterms:modified>
</cp:coreProperties>
</file>