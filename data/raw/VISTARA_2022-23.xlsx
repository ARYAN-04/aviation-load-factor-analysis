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O54" i="2" l="1"/>
  <c r="Q54" i="2" s="1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<sst xmlns="http://schemas.openxmlformats.org/spreadsheetml/2006/main" count="153" uniqueCount="42">
  <si>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</si>
  <si>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VISTARA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</si>
  <si>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</si>
  <si>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</si>
  <si>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</si>
  <si>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</si>
  <si>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</si>
  <si>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</si>
  <si>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</si>
  <si>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</si>
  <si>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</si>
  <si>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</si>
  <si>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</si>
  <si>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</si>
  <si>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</si>
  <si>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</si>
  <si>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</si>
  <si>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</si>
  <si>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</si>
  <si>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</si>
  <si>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</si>
  <si>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</si>
  <si>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</si>
  <si>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</si>
  <si>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</si>
  <si>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</si>
  <si>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</si>
  <si>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</si>
  <si>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</si>
  <si>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</si>
  <si>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</si>
  <si>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</si>
  <si>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</si>
  <si>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</si>
  <si>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</si>
  <si>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VISTARA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</si>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</sst>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3" transitionEvaluation="1" transitionEntry="1" codeName="Sheet12"/>
  <dimension ref="A1:Q494"/>
  <sheetViews>
    <sheetView showGridLines="0" tabSelected="1" view="pageBreakPreview" topLeftCell="A43" zoomScaleNormal="85" zoomScaleSheetLayoutView="100" workbookViewId="0">
      <selection activeCell="P53" sqref="P5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44">
        <v>2022</v>
      </c>
      <c r="B1" s="144"/>
      <c r="C1" s="145" t="s">
        <v>0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 t="s">
        <v>1</v>
      </c>
      <c r="P1" s="146"/>
      <c r="Q1" s="146"/>
    </row>
    <row r="2" spans="1:17" ht="33" customHeight="1" x14ac:dyDescent="0.3">
      <c r="A2" s="147" t="s">
        <v>2</v>
      </c>
      <c r="B2" s="149" t="s">
        <v>3</v>
      </c>
      <c r="C2" s="149"/>
      <c r="D2" s="149"/>
      <c r="E2" s="150" t="s">
        <v>4</v>
      </c>
      <c r="F2" s="150" t="s">
        <v>5</v>
      </c>
      <c r="G2" s="150" t="s">
        <v>6</v>
      </c>
      <c r="H2" s="150" t="s">
        <v>7</v>
      </c>
      <c r="I2" s="149" t="s">
        <v>8</v>
      </c>
      <c r="J2" s="149"/>
      <c r="K2" s="149"/>
      <c r="L2" s="149" t="s">
        <v>9</v>
      </c>
      <c r="M2" s="149"/>
      <c r="N2" s="149"/>
      <c r="O2" s="149"/>
      <c r="P2" s="150" t="s">
        <v>10</v>
      </c>
      <c r="Q2" s="150" t="s">
        <v>11</v>
      </c>
    </row>
    <row r="3" spans="1:17" ht="155.25" customHeight="1" x14ac:dyDescent="0.3">
      <c r="A3" s="148"/>
      <c r="B3" s="2" t="s">
        <v>12</v>
      </c>
      <c r="C3" s="2" t="s">
        <v>13</v>
      </c>
      <c r="D3" s="2" t="s">
        <v>14</v>
      </c>
      <c r="E3" s="150"/>
      <c r="F3" s="150"/>
      <c r="G3" s="150"/>
      <c r="H3" s="150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50"/>
      <c r="Q3" s="150"/>
    </row>
    <row r="4" spans="1:17" ht="23.1" customHeight="1" x14ac:dyDescent="0.3">
      <c r="A4" s="4" t="s">
        <v>22</v>
      </c>
      <c r="B4" s="5">
        <v>4665</v>
      </c>
      <c r="C4" s="5">
        <v>7570.48</v>
      </c>
      <c r="D4" s="6">
        <v>5120.6059999999998</v>
      </c>
      <c r="E4" s="7">
        <v>478514</v>
      </c>
      <c r="F4" s="5">
        <v>529409.02300000004</v>
      </c>
      <c r="G4" s="5">
        <v>858964.36600000004</v>
      </c>
      <c r="H4" s="8">
        <f>IFERROR(F4/G4*100," ")</f>
        <v>61.633409249016516</v>
      </c>
      <c r="I4" s="9">
        <v>3991.7160000000003</v>
      </c>
      <c r="J4" s="10">
        <v>385.19431000000009</v>
      </c>
      <c r="K4" s="8">
        <f>IF(AND(ISBLANK(I4),ISBLANK(J4))=TRUE,"",I4+J4)</f>
        <v>4376.9103100000002</v>
      </c>
      <c r="L4" s="9">
        <v>47646.812069999985</v>
      </c>
      <c r="M4" s="10">
        <v>5139.6950420000003</v>
      </c>
      <c r="N4" s="10">
        <v>480.31531784999999</v>
      </c>
      <c r="O4" s="8">
        <f>IF(AND(ISBLANK(L4),ISBLANK(M4),ISBLANK(N4))=TRUE,"",L4+M4+N4)</f>
        <v>53266.822429849984</v>
      </c>
      <c r="P4" s="10">
        <v>89082.717400000009</v>
      </c>
      <c r="Q4" s="8">
        <f>IFERROR(O4/P4*100," ")</f>
        <v>59.794788466847983</v>
      </c>
    </row>
    <row r="5" spans="1:17" ht="23.1" customHeight="1" x14ac:dyDescent="0.3">
      <c r="A5" s="11" t="s">
        <v>23</v>
      </c>
      <c r="B5" s="12">
        <v>5115</v>
      </c>
      <c r="C5" s="12">
        <v>8377.15</v>
      </c>
      <c r="D5" s="11">
        <v>5664.2</v>
      </c>
      <c r="E5" s="13">
        <v>748507</v>
      </c>
      <c r="F5" s="12">
        <v>828043.82</v>
      </c>
      <c r="G5" s="12">
        <v>950495.14199999999</v>
      </c>
      <c r="H5" s="14">
        <f t="shared" ref="H5:H16" si="0">IFERROR(F5/G5*100," ")</f>
        <v>87.117101751583704</v>
      </c>
      <c r="I5" s="15">
        <v>4001.37</v>
      </c>
      <c r="J5" s="16">
        <v>396.95213000000012</v>
      </c>
      <c r="K5" s="14">
        <f t="shared" ref="K5:K16" si="1">IF(AND(ISBLANK(I5),ISBLANK(J5))=TRUE,"",I5+J5)</f>
        <v>4398.3221300000005</v>
      </c>
      <c r="L5" s="15">
        <v>74523.943800000037</v>
      </c>
      <c r="M5" s="16">
        <v>5209.8748489999998</v>
      </c>
      <c r="N5" s="16">
        <v>493.80425430999986</v>
      </c>
      <c r="O5" s="14">
        <f t="shared" ref="O5:O16" si="2">IF(AND(ISBLANK(L5),ISBLANK(M5),ISBLANK(N5))=TRUE,"",L5+M5+N5)</f>
        <v>80227.622903310039</v>
      </c>
      <c r="P5" s="16">
        <v>98292.647700000001</v>
      </c>
      <c r="Q5" s="14">
        <f t="shared" ref="Q5:Q16" si="3">IFERROR(O5/P5*100," ")</f>
        <v>81.621184066761117</v>
      </c>
    </row>
    <row r="6" spans="1:17" ht="23.1" customHeight="1" x14ac:dyDescent="0.3">
      <c r="A6" s="17" t="s">
        <v>24</v>
      </c>
      <c r="B6" s="18">
        <v>6641</v>
      </c>
      <c r="C6" s="18">
        <v>10852.92</v>
      </c>
      <c r="D6" s="17">
        <v>7368.5020000000004</v>
      </c>
      <c r="E6" s="19">
        <v>956179</v>
      </c>
      <c r="F6" s="18">
        <v>1068514.155</v>
      </c>
      <c r="G6" s="18">
        <v>1241274.456</v>
      </c>
      <c r="H6" s="20">
        <f t="shared" si="0"/>
        <v>86.08202237910227</v>
      </c>
      <c r="I6" s="21">
        <v>4649.62</v>
      </c>
      <c r="J6" s="22">
        <v>384.6</v>
      </c>
      <c r="K6" s="20">
        <f t="shared" si="1"/>
        <v>5034.22</v>
      </c>
      <c r="L6" s="21">
        <v>96166.205730000001</v>
      </c>
      <c r="M6" s="22">
        <v>5949.6591489999983</v>
      </c>
      <c r="N6" s="22">
        <v>489.93424245000006</v>
      </c>
      <c r="O6" s="20">
        <f t="shared" si="2"/>
        <v>102605.79912145001</v>
      </c>
      <c r="P6" s="22">
        <v>128281.47019999998</v>
      </c>
      <c r="Q6" s="20">
        <f t="shared" si="3"/>
        <v>79.984894904525362</v>
      </c>
    </row>
    <row r="7" spans="1:17" ht="23.1" customHeight="1" x14ac:dyDescent="0.3">
      <c r="A7" s="11" t="s">
        <v>25</v>
      </c>
      <c r="B7" s="12">
        <v>6492</v>
      </c>
      <c r="C7" s="12">
        <v>10677.35</v>
      </c>
      <c r="D7" s="11">
        <v>7273.8990000000003</v>
      </c>
      <c r="E7" s="13">
        <v>904428</v>
      </c>
      <c r="F7" s="12">
        <v>1020302.203</v>
      </c>
      <c r="G7" s="12">
        <v>1230668.368</v>
      </c>
      <c r="H7" s="14">
        <f t="shared" si="0"/>
        <v>82.906348251895594</v>
      </c>
      <c r="I7" s="15">
        <v>4675.509</v>
      </c>
      <c r="J7" s="16">
        <v>404.00295</v>
      </c>
      <c r="K7" s="14">
        <f t="shared" si="1"/>
        <v>5079.5119500000001</v>
      </c>
      <c r="L7" s="15">
        <v>91827.198270000066</v>
      </c>
      <c r="M7" s="16">
        <v>6039.9788230000013</v>
      </c>
      <c r="N7" s="16">
        <v>502.84881702000035</v>
      </c>
      <c r="O7" s="14">
        <f t="shared" si="2"/>
        <v>98370.025910020064</v>
      </c>
      <c r="P7" s="16">
        <v>129183.33630000007</v>
      </c>
      <c r="Q7" s="14">
        <f t="shared" si="3"/>
        <v>76.147612166926208</v>
      </c>
    </row>
    <row r="8" spans="1:17" s="23" customFormat="1" ht="30" customHeight="1" x14ac:dyDescent="0.25">
      <c r="A8" s="17" t="s">
        <v>26</v>
      </c>
      <c r="B8" s="18">
        <v>6917</v>
      </c>
      <c r="C8" s="18">
        <v>11544.85</v>
      </c>
      <c r="D8" s="17">
        <v>7750.2060000000001</v>
      </c>
      <c r="E8" s="19">
        <v>982676</v>
      </c>
      <c r="F8" s="18">
        <v>1105461.794</v>
      </c>
      <c r="G8" s="18">
        <v>1303587.3</v>
      </c>
      <c r="H8" s="20">
        <f t="shared" si="0"/>
        <v>84.801516093321865</v>
      </c>
      <c r="I8" s="21">
        <v>5265.57</v>
      </c>
      <c r="J8" s="22">
        <v>383.95</v>
      </c>
      <c r="K8" s="20">
        <f t="shared" si="1"/>
        <v>5649.5199999999995</v>
      </c>
      <c r="L8" s="21">
        <v>99491.56146000007</v>
      </c>
      <c r="M8" s="22">
        <v>6749.3964349999969</v>
      </c>
      <c r="N8" s="22">
        <v>465.59882746999904</v>
      </c>
      <c r="O8" s="20">
        <f t="shared" si="2"/>
        <v>106706.55672247006</v>
      </c>
      <c r="P8" s="22">
        <v>136706.82310000007</v>
      </c>
      <c r="Q8" s="20">
        <f t="shared" si="3"/>
        <v>78.055033613366149</v>
      </c>
    </row>
    <row r="9" spans="1:17" ht="23.1" customHeight="1" x14ac:dyDescent="0.3">
      <c r="A9" s="11" t="s">
        <v>27</v>
      </c>
      <c r="B9" s="12">
        <v>7191</v>
      </c>
      <c r="C9" s="12">
        <v>11668.43</v>
      </c>
      <c r="D9" s="11">
        <v>7828.6350000000002</v>
      </c>
      <c r="E9" s="13">
        <v>991500</v>
      </c>
      <c r="F9" s="12">
        <v>1101157.503</v>
      </c>
      <c r="G9" s="12">
        <v>1313677.044</v>
      </c>
      <c r="H9" s="14">
        <f t="shared" si="0"/>
        <v>83.822542841054627</v>
      </c>
      <c r="I9" s="15">
        <v>5787.689000000003</v>
      </c>
      <c r="J9" s="16">
        <v>404.85043000000013</v>
      </c>
      <c r="K9" s="14">
        <f t="shared" si="1"/>
        <v>6192.5394300000034</v>
      </c>
      <c r="L9" s="15">
        <v>99104.175270000036</v>
      </c>
      <c r="M9" s="16">
        <v>7345.5281200000045</v>
      </c>
      <c r="N9" s="16">
        <v>484.89278826000094</v>
      </c>
      <c r="O9" s="14">
        <f t="shared" si="2"/>
        <v>106934.59617826004</v>
      </c>
      <c r="P9" s="16">
        <v>137458.02740000008</v>
      </c>
      <c r="Q9" s="14">
        <f t="shared" si="3"/>
        <v>77.794362541725206</v>
      </c>
    </row>
    <row r="10" spans="1:17" ht="23.1" customHeight="1" x14ac:dyDescent="0.3">
      <c r="A10" s="17" t="s">
        <v>28</v>
      </c>
      <c r="B10" s="18">
        <v>7287</v>
      </c>
      <c r="C10" s="18">
        <v>11915.57</v>
      </c>
      <c r="D10" s="17">
        <v>7948.8559999999998</v>
      </c>
      <c r="E10" s="19">
        <v>1013331</v>
      </c>
      <c r="F10" s="18">
        <v>1124680.071</v>
      </c>
      <c r="G10" s="18">
        <v>1333901.392</v>
      </c>
      <c r="H10" s="20">
        <f t="shared" si="0"/>
        <v>84.315083389612354</v>
      </c>
      <c r="I10" s="21">
        <v>6295.64</v>
      </c>
      <c r="J10" s="22">
        <v>423.23</v>
      </c>
      <c r="K10" s="20">
        <f t="shared" si="1"/>
        <v>6718.8700000000008</v>
      </c>
      <c r="L10" s="21">
        <v>101221.20638999996</v>
      </c>
      <c r="M10" s="22">
        <v>7941.2373680000028</v>
      </c>
      <c r="N10" s="22">
        <v>500.92288184000108</v>
      </c>
      <c r="O10" s="20">
        <f t="shared" si="2"/>
        <v>109663.36663983997</v>
      </c>
      <c r="P10" s="22">
        <v>139593.14219999994</v>
      </c>
      <c r="Q10" s="20">
        <f t="shared" si="3"/>
        <v>78.55927942557625</v>
      </c>
    </row>
    <row r="11" spans="1:17" ht="23.1" customHeight="1" x14ac:dyDescent="0.3">
      <c r="A11" s="11" t="s">
        <v>29</v>
      </c>
      <c r="B11" s="12">
        <v>6987</v>
      </c>
      <c r="C11" s="12">
        <v>11452.2</v>
      </c>
      <c r="D11" s="11">
        <v>7691.6059999999998</v>
      </c>
      <c r="E11" s="13">
        <v>981028</v>
      </c>
      <c r="F11" s="12">
        <v>1091970.713</v>
      </c>
      <c r="G11" s="12">
        <v>1293317.04</v>
      </c>
      <c r="H11" s="14">
        <f t="shared" si="0"/>
        <v>84.431788898412719</v>
      </c>
      <c r="I11" s="15">
        <v>5239.79</v>
      </c>
      <c r="J11" s="16">
        <v>297.87</v>
      </c>
      <c r="K11" s="14">
        <f t="shared" si="1"/>
        <v>5537.66</v>
      </c>
      <c r="L11" s="15">
        <v>98277.364170000001</v>
      </c>
      <c r="M11" s="16">
        <v>6598.8648059999996</v>
      </c>
      <c r="N11" s="16">
        <v>364.91416617999943</v>
      </c>
      <c r="O11" s="14">
        <f t="shared" si="2"/>
        <v>105241.14314217999</v>
      </c>
      <c r="P11" s="16">
        <v>135583.05900000004</v>
      </c>
      <c r="Q11" s="14">
        <f t="shared" si="3"/>
        <v>77.62115998738453</v>
      </c>
    </row>
    <row r="12" spans="1:17" ht="23.1" customHeight="1" x14ac:dyDescent="0.3">
      <c r="A12" s="17" t="s">
        <v>30</v>
      </c>
      <c r="B12" s="18">
        <v>6982</v>
      </c>
      <c r="C12" s="18">
        <v>11455.12</v>
      </c>
      <c r="D12" s="17">
        <v>7700.1760000000004</v>
      </c>
      <c r="E12" s="19">
        <v>996471</v>
      </c>
      <c r="F12" s="18">
        <v>1105468.9990000001</v>
      </c>
      <c r="G12" s="18">
        <v>1294808.976</v>
      </c>
      <c r="H12" s="20">
        <f t="shared" si="0"/>
        <v>85.376995332167056</v>
      </c>
      <c r="I12" s="21">
        <v>4056.748</v>
      </c>
      <c r="J12" s="22">
        <v>440.26</v>
      </c>
      <c r="K12" s="20">
        <f t="shared" si="1"/>
        <v>4497.0079999999998</v>
      </c>
      <c r="L12" s="21">
        <v>99492.209909999932</v>
      </c>
      <c r="M12" s="22">
        <v>5218.883520000003</v>
      </c>
      <c r="N12" s="22">
        <v>532.19538369000088</v>
      </c>
      <c r="O12" s="20">
        <f t="shared" si="2"/>
        <v>105243.28881368994</v>
      </c>
      <c r="P12" s="22">
        <v>135752.78520000004</v>
      </c>
      <c r="Q12" s="20">
        <f t="shared" si="3"/>
        <v>77.525693972789227</v>
      </c>
    </row>
    <row r="13" spans="1:17" ht="23.1" customHeight="1" x14ac:dyDescent="0.3">
      <c r="A13" s="11" t="s">
        <v>31</v>
      </c>
      <c r="B13" s="12">
        <v>7282</v>
      </c>
      <c r="C13" s="12">
        <v>11845.22</v>
      </c>
      <c r="D13" s="11">
        <v>8016.3860000000004</v>
      </c>
      <c r="E13" s="13">
        <v>1048868</v>
      </c>
      <c r="F13" s="12">
        <v>1155735.4569999999</v>
      </c>
      <c r="G13" s="12">
        <v>1351229.94</v>
      </c>
      <c r="H13" s="14">
        <f t="shared" si="0"/>
        <v>85.532108398959835</v>
      </c>
      <c r="I13" s="15">
        <v>5711.0190000000002</v>
      </c>
      <c r="J13" s="16">
        <v>384.86971999999997</v>
      </c>
      <c r="K13" s="14">
        <f t="shared" si="1"/>
        <v>6095.8887199999999</v>
      </c>
      <c r="L13" s="15">
        <v>104016.19113000001</v>
      </c>
      <c r="M13" s="16">
        <v>7286.7928879999999</v>
      </c>
      <c r="N13" s="16">
        <v>440.57161373999901</v>
      </c>
      <c r="O13" s="14">
        <f t="shared" si="2"/>
        <v>111743.55563174</v>
      </c>
      <c r="P13" s="16">
        <v>141736.37109999999</v>
      </c>
      <c r="Q13" s="14">
        <f t="shared" si="3"/>
        <v>78.839012713893325</v>
      </c>
    </row>
    <row r="14" spans="1:17" ht="23.1" customHeight="1" x14ac:dyDescent="0.3">
      <c r="A14" s="17" t="s">
        <v>32</v>
      </c>
      <c r="B14" s="18">
        <v>7056</v>
      </c>
      <c r="C14" s="18">
        <v>11458.65</v>
      </c>
      <c r="D14" s="17">
        <v>7675.6880000000001</v>
      </c>
      <c r="E14" s="19">
        <v>1087214</v>
      </c>
      <c r="F14" s="18">
        <v>1186387.4040000001</v>
      </c>
      <c r="G14" s="18">
        <v>1293679.48</v>
      </c>
      <c r="H14" s="20">
        <f t="shared" si="0"/>
        <v>91.706440609230356</v>
      </c>
      <c r="I14" s="21">
        <v>4619.2235499999997</v>
      </c>
      <c r="J14" s="22">
        <v>404.75470999999999</v>
      </c>
      <c r="K14" s="20">
        <f t="shared" si="1"/>
        <v>5023.9782599999999</v>
      </c>
      <c r="L14" s="21">
        <v>106774.86635999997</v>
      </c>
      <c r="M14" s="22">
        <v>5891.4521078600019</v>
      </c>
      <c r="N14" s="22">
        <v>491.72644303000015</v>
      </c>
      <c r="O14" s="20">
        <f t="shared" si="2"/>
        <v>113158.04491088998</v>
      </c>
      <c r="P14" s="22">
        <v>135514.55731200008</v>
      </c>
      <c r="Q14" s="20">
        <f t="shared" si="3"/>
        <v>83.502501248158978</v>
      </c>
    </row>
    <row r="15" spans="1:17" ht="23.1" customHeight="1" x14ac:dyDescent="0.3">
      <c r="A15" s="24" t="s">
        <v>33</v>
      </c>
      <c r="B15" s="25">
        <v>7579</v>
      </c>
      <c r="C15" s="25">
        <v>12364.95</v>
      </c>
      <c r="D15" s="26">
        <v>8242.1849999999995</v>
      </c>
      <c r="E15" s="27">
        <v>1170412</v>
      </c>
      <c r="F15" s="25">
        <v>1273866.7180000001</v>
      </c>
      <c r="G15" s="25">
        <v>1386625.7879999999</v>
      </c>
      <c r="H15" s="28">
        <f t="shared" si="0"/>
        <v>91.86809657112768</v>
      </c>
      <c r="I15" s="29">
        <v>4325.4093999999996</v>
      </c>
      <c r="J15" s="30">
        <v>425.27911999999998</v>
      </c>
      <c r="K15" s="28">
        <f t="shared" si="1"/>
        <v>4750.6885199999997</v>
      </c>
      <c r="L15" s="29">
        <v>114648.00462000004</v>
      </c>
      <c r="M15" s="30">
        <v>5620.2246643300005</v>
      </c>
      <c r="N15" s="30">
        <v>476.63680107000005</v>
      </c>
      <c r="O15" s="28">
        <f t="shared" si="2"/>
        <v>120744.86608540003</v>
      </c>
      <c r="P15" s="16">
        <v>145320.10880000007</v>
      </c>
      <c r="Q15" s="14">
        <f t="shared" si="3"/>
        <v>83.088890506941311</v>
      </c>
    </row>
    <row r="16" spans="1:17" ht="23.1" customHeight="1" x14ac:dyDescent="0.3">
      <c r="A16" s="31" t="s">
        <v>34</v>
      </c>
      <c r="B16" s="32">
        <f t="shared" ref="B16:G16" si="4">SUM(B4:B15)</f>
        <v>80194</v>
      </c>
      <c r="C16" s="32">
        <f t="shared" si="4"/>
        <v>131182.88999999998</v>
      </c>
      <c r="D16" s="32">
        <f t="shared" si="4"/>
        <v>88280.944999999992</v>
      </c>
      <c r="E16" s="32">
        <f t="shared" si="4"/>
        <v>11359128</v>
      </c>
      <c r="F16" s="32">
        <f t="shared" si="4"/>
        <v>12590997.860000001</v>
      </c>
      <c r="G16" s="32">
        <f t="shared" si="4"/>
        <v>14852229.291999999</v>
      </c>
      <c r="H16" s="33">
        <f t="shared" si="0"/>
        <v>84.775137876318766</v>
      </c>
      <c r="I16" s="33">
        <f>SUM(I4:I15)</f>
        <v>58619.303950000001</v>
      </c>
      <c r="J16" s="33">
        <f>SUM(J4:J15)</f>
        <v>4735.8133700000008</v>
      </c>
      <c r="K16" s="33">
        <f t="shared" si="1"/>
        <v>63355.117320000005</v>
      </c>
      <c r="L16" s="33">
        <f>SUM(L4:L15)</f>
        <v>1133189.7391800003</v>
      </c>
      <c r="M16" s="33">
        <f>SUM(M4:M15)</f>
        <v>74991.587772190018</v>
      </c>
      <c r="N16" s="33">
        <f>SUM(N4:N15)</f>
        <v>5724.3615369099998</v>
      </c>
      <c r="O16" s="33">
        <f t="shared" si="2"/>
        <v>1213905.6884891004</v>
      </c>
      <c r="P16" s="34">
        <f>SUM(P4:P15)</f>
        <v>1552505.0457120002</v>
      </c>
      <c r="Q16" s="34">
        <f t="shared" si="3"/>
        <v>78.190128389076278</v>
      </c>
    </row>
    <row r="17" spans="1:17" ht="20.100000000000001" customHeight="1" x14ac:dyDescent="0.3">
      <c r="A17" s="151" t="s">
        <v>35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3">
        <v>2022</v>
      </c>
      <c r="B20" s="153"/>
      <c r="C20" s="154" t="s">
        <v>38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5" t="s">
        <v>1</v>
      </c>
      <c r="P20" s="155"/>
      <c r="Q20" s="156"/>
    </row>
    <row r="21" spans="1:17" ht="33" customHeight="1" x14ac:dyDescent="0.3">
      <c r="A21" s="157" t="s">
        <v>2</v>
      </c>
      <c r="B21" s="157" t="s">
        <v>3</v>
      </c>
      <c r="C21" s="157"/>
      <c r="D21" s="157"/>
      <c r="E21" s="158" t="s">
        <v>4</v>
      </c>
      <c r="F21" s="158" t="s">
        <v>5</v>
      </c>
      <c r="G21" s="158" t="s">
        <v>6</v>
      </c>
      <c r="H21" s="158" t="s">
        <v>7</v>
      </c>
      <c r="I21" s="157" t="s">
        <v>8</v>
      </c>
      <c r="J21" s="157"/>
      <c r="K21" s="157"/>
      <c r="L21" s="157" t="s">
        <v>9</v>
      </c>
      <c r="M21" s="157"/>
      <c r="N21" s="157"/>
      <c r="O21" s="157"/>
      <c r="P21" s="158" t="s">
        <v>10</v>
      </c>
      <c r="Q21" s="158" t="s">
        <v>11</v>
      </c>
    </row>
    <row r="22" spans="1:17" ht="150.75" customHeight="1" x14ac:dyDescent="0.3">
      <c r="A22" s="157"/>
      <c r="B22" s="36" t="s">
        <v>12</v>
      </c>
      <c r="C22" s="36" t="s">
        <v>13</v>
      </c>
      <c r="D22" s="36" t="s">
        <v>14</v>
      </c>
      <c r="E22" s="158"/>
      <c r="F22" s="158"/>
      <c r="G22" s="158"/>
      <c r="H22" s="158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59"/>
      <c r="Q22" s="159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>
        <v>70</v>
      </c>
      <c r="C25" s="39">
        <v>267.31</v>
      </c>
      <c r="D25" s="54">
        <v>224.928</v>
      </c>
      <c r="E25" s="53">
        <v>9870</v>
      </c>
      <c r="F25" s="39">
        <v>40337.716999999997</v>
      </c>
      <c r="G25" s="39">
        <v>52811.982000000004</v>
      </c>
      <c r="H25" s="43">
        <f t="shared" si="5"/>
        <v>76.379858267769606</v>
      </c>
      <c r="I25" s="55">
        <v>199.01300000000001</v>
      </c>
      <c r="J25" s="55"/>
      <c r="K25" s="55">
        <f t="shared" si="6"/>
        <v>199.01300000000001</v>
      </c>
      <c r="L25" s="56">
        <v>4235.4602850000001</v>
      </c>
      <c r="M25" s="55">
        <v>1228.296597</v>
      </c>
      <c r="N25" s="55">
        <v>0</v>
      </c>
      <c r="O25" s="43">
        <f t="shared" si="7"/>
        <v>5463.7568819999997</v>
      </c>
      <c r="P25" s="56">
        <v>8048.7251999999999</v>
      </c>
      <c r="Q25" s="43">
        <f t="shared" si="8"/>
        <v>67.88350634706724</v>
      </c>
    </row>
    <row r="26" spans="1:17" ht="23.1" customHeight="1" x14ac:dyDescent="0.3">
      <c r="A26" s="47" t="s">
        <v>25</v>
      </c>
      <c r="B26" s="48">
        <v>396</v>
      </c>
      <c r="C26" s="47">
        <v>1740.31</v>
      </c>
      <c r="D26" s="49">
        <v>1328.058</v>
      </c>
      <c r="E26" s="48">
        <v>54418</v>
      </c>
      <c r="F26" s="47">
        <v>227299.421</v>
      </c>
      <c r="G26" s="47">
        <v>306328.03200000001</v>
      </c>
      <c r="H26" s="50">
        <f t="shared" si="5"/>
        <v>74.201312728702533</v>
      </c>
      <c r="I26" s="51">
        <v>994.88199999999995</v>
      </c>
      <c r="J26" s="51"/>
      <c r="K26" s="51">
        <f t="shared" si="6"/>
        <v>994.88199999999995</v>
      </c>
      <c r="L26" s="52">
        <v>23866.439204999999</v>
      </c>
      <c r="M26" s="51">
        <v>6027.5437609999999</v>
      </c>
      <c r="N26" s="51">
        <v>0</v>
      </c>
      <c r="O26" s="50">
        <f t="shared" si="7"/>
        <v>29893.982966</v>
      </c>
      <c r="P26" s="52">
        <v>46049.596799999999</v>
      </c>
      <c r="Q26" s="50">
        <f t="shared" si="8"/>
        <v>64.916926625511735</v>
      </c>
    </row>
    <row r="27" spans="1:17" s="23" customFormat="1" ht="30" customHeight="1" x14ac:dyDescent="0.25">
      <c r="A27" s="39" t="s">
        <v>26</v>
      </c>
      <c r="B27" s="53">
        <v>440</v>
      </c>
      <c r="C27" s="39">
        <v>2054.3200000000002</v>
      </c>
      <c r="D27" s="54">
        <v>1561.9559999999999</v>
      </c>
      <c r="E27" s="53">
        <v>68161</v>
      </c>
      <c r="F27" s="39">
        <v>275983.19500000001</v>
      </c>
      <c r="G27" s="39">
        <v>364794.69</v>
      </c>
      <c r="H27" s="43">
        <f t="shared" si="5"/>
        <v>75.65438932238844</v>
      </c>
      <c r="I27" s="55">
        <v>1267.221</v>
      </c>
      <c r="J27" s="55"/>
      <c r="K27" s="55">
        <f t="shared" si="6"/>
        <v>1267.221</v>
      </c>
      <c r="L27" s="56">
        <v>28978.235474999998</v>
      </c>
      <c r="M27" s="55">
        <v>7631.0690850000001</v>
      </c>
      <c r="N27" s="55">
        <v>0</v>
      </c>
      <c r="O27" s="43">
        <f t="shared" si="7"/>
        <v>36609.304559999997</v>
      </c>
      <c r="P27" s="56">
        <v>53392.254000000001</v>
      </c>
      <c r="Q27" s="43">
        <f t="shared" si="8"/>
        <v>68.566696135360743</v>
      </c>
    </row>
    <row r="28" spans="1:17" ht="23.1" customHeight="1" x14ac:dyDescent="0.3">
      <c r="A28" s="47" t="s">
        <v>27</v>
      </c>
      <c r="B28" s="48">
        <v>476</v>
      </c>
      <c r="C28" s="47">
        <v>2109.38</v>
      </c>
      <c r="D28" s="49">
        <v>1605.6880000000001</v>
      </c>
      <c r="E28" s="48">
        <v>77120</v>
      </c>
      <c r="F28" s="47">
        <v>304285.04499999998</v>
      </c>
      <c r="G28" s="47">
        <v>369495.02600000001</v>
      </c>
      <c r="H28" s="50">
        <f t="shared" si="5"/>
        <v>82.351594362193111</v>
      </c>
      <c r="I28" s="51">
        <v>1194.704</v>
      </c>
      <c r="J28" s="51"/>
      <c r="K28" s="51">
        <f t="shared" si="6"/>
        <v>1194.704</v>
      </c>
      <c r="L28" s="52">
        <v>31949.929724999998</v>
      </c>
      <c r="M28" s="51">
        <v>7246.9421590000011</v>
      </c>
      <c r="N28" s="51">
        <v>0</v>
      </c>
      <c r="O28" s="50">
        <f t="shared" si="7"/>
        <v>39196.871884</v>
      </c>
      <c r="P28" s="52">
        <v>53551.9084</v>
      </c>
      <c r="Q28" s="50">
        <f t="shared" si="8"/>
        <v>73.194164419358017</v>
      </c>
    </row>
    <row r="29" spans="1:17" ht="23.1" customHeight="1" x14ac:dyDescent="0.3">
      <c r="A29" s="39" t="s">
        <v>28</v>
      </c>
      <c r="B29" s="53">
        <v>514</v>
      </c>
      <c r="C29" s="39">
        <v>2229.04</v>
      </c>
      <c r="D29" s="54">
        <v>1696.914</v>
      </c>
      <c r="E29" s="53">
        <v>84989</v>
      </c>
      <c r="F29" s="39">
        <v>327893.98700000002</v>
      </c>
      <c r="G29" s="39">
        <v>389161.81800000003</v>
      </c>
      <c r="H29" s="43">
        <f t="shared" si="5"/>
        <v>84.256463978179895</v>
      </c>
      <c r="I29" s="55">
        <v>1277.7650000000001</v>
      </c>
      <c r="J29" s="55"/>
      <c r="K29" s="55">
        <f t="shared" si="6"/>
        <v>1277.7650000000001</v>
      </c>
      <c r="L29" s="56">
        <v>34428.868635000006</v>
      </c>
      <c r="M29" s="55">
        <v>7684.7168530000017</v>
      </c>
      <c r="N29" s="55">
        <v>0</v>
      </c>
      <c r="O29" s="43">
        <f t="shared" si="7"/>
        <v>42113.585488000012</v>
      </c>
      <c r="P29" s="56">
        <v>42420.337200000002</v>
      </c>
      <c r="Q29" s="43">
        <f t="shared" si="8"/>
        <v>99.276875828323242</v>
      </c>
    </row>
    <row r="30" spans="1:17" ht="23.1" customHeight="1" x14ac:dyDescent="0.3">
      <c r="A30" s="47" t="s">
        <v>29</v>
      </c>
      <c r="B30" s="48">
        <v>578</v>
      </c>
      <c r="C30" s="47">
        <v>2501.2800000000002</v>
      </c>
      <c r="D30" s="49">
        <v>1906.598</v>
      </c>
      <c r="E30" s="48">
        <v>92720</v>
      </c>
      <c r="F30" s="47">
        <v>347209.30499999999</v>
      </c>
      <c r="G30" s="47">
        <v>424851.27399999998</v>
      </c>
      <c r="H30" s="50">
        <f t="shared" si="5"/>
        <v>81.724906160926338</v>
      </c>
      <c r="I30" s="51">
        <v>1207.374</v>
      </c>
      <c r="J30" s="51"/>
      <c r="K30" s="51">
        <f t="shared" si="6"/>
        <v>1207.374</v>
      </c>
      <c r="L30" s="52">
        <v>36456.977025</v>
      </c>
      <c r="M30" s="51">
        <v>7086.749108</v>
      </c>
      <c r="N30" s="51">
        <v>0</v>
      </c>
      <c r="O30" s="50">
        <f t="shared" si="7"/>
        <v>43543.726133000004</v>
      </c>
      <c r="P30" s="52">
        <v>49669.777199999997</v>
      </c>
      <c r="Q30" s="50">
        <f t="shared" si="8"/>
        <v>87.666441421041867</v>
      </c>
    </row>
    <row r="31" spans="1:17" ht="23.1" customHeight="1" x14ac:dyDescent="0.3">
      <c r="A31" s="39" t="s">
        <v>30</v>
      </c>
      <c r="B31" s="53">
        <v>572</v>
      </c>
      <c r="C31" s="39">
        <v>2464.08</v>
      </c>
      <c r="D31" s="54">
        <v>1863.8440000000001</v>
      </c>
      <c r="E31" s="53">
        <v>92524</v>
      </c>
      <c r="F31" s="39">
        <v>337495.54</v>
      </c>
      <c r="G31" s="39">
        <v>413573.24</v>
      </c>
      <c r="H31" s="43">
        <f t="shared" si="5"/>
        <v>81.604781779401392</v>
      </c>
      <c r="I31" s="55">
        <v>1278.104</v>
      </c>
      <c r="J31" s="55">
        <v>22.29</v>
      </c>
      <c r="K31" s="55">
        <f t="shared" si="6"/>
        <v>1300.394</v>
      </c>
      <c r="L31" s="56">
        <v>35437.0317</v>
      </c>
      <c r="M31" s="55">
        <v>7699.1215639999991</v>
      </c>
      <c r="N31" s="55">
        <v>122.26995499999998</v>
      </c>
      <c r="O31" s="43">
        <f t="shared" si="7"/>
        <v>43258.423219000004</v>
      </c>
      <c r="P31" s="56">
        <v>57881.537600000003</v>
      </c>
      <c r="Q31" s="43">
        <f t="shared" si="8"/>
        <v>74.736133511076602</v>
      </c>
    </row>
    <row r="32" spans="1:17" ht="23.1" customHeight="1" x14ac:dyDescent="0.3">
      <c r="A32" s="47" t="s">
        <v>31</v>
      </c>
      <c r="B32" s="48">
        <v>696</v>
      </c>
      <c r="C32" s="47">
        <v>2884.54</v>
      </c>
      <c r="D32" s="49">
        <v>2176.7809999999999</v>
      </c>
      <c r="E32" s="48">
        <v>107811</v>
      </c>
      <c r="F32" s="47">
        <v>376034.821</v>
      </c>
      <c r="G32" s="47">
        <v>469260.886</v>
      </c>
      <c r="H32" s="50">
        <f t="shared" si="5"/>
        <v>80.133425183875218</v>
      </c>
      <c r="I32" s="51">
        <v>1299.3820000000001</v>
      </c>
      <c r="J32" s="51">
        <v>36.6965</v>
      </c>
      <c r="K32" s="51">
        <f t="shared" si="6"/>
        <v>1336.0785000000001</v>
      </c>
      <c r="L32" s="52">
        <v>39483.656204999999</v>
      </c>
      <c r="M32" s="51">
        <v>7723.4903780000004</v>
      </c>
      <c r="N32" s="51">
        <v>208.3520068</v>
      </c>
      <c r="O32" s="50">
        <f t="shared" si="7"/>
        <v>47415.498589800001</v>
      </c>
      <c r="P32" s="52">
        <v>56769.766000000003</v>
      </c>
      <c r="Q32" s="50">
        <f t="shared" si="8"/>
        <v>83.522448533256238</v>
      </c>
    </row>
    <row r="33" spans="1:17" ht="23.1" customHeight="1" x14ac:dyDescent="0.3">
      <c r="A33" s="39" t="s">
        <v>32</v>
      </c>
      <c r="B33" s="53">
        <v>742</v>
      </c>
      <c r="C33" s="39">
        <v>3137.93</v>
      </c>
      <c r="D33" s="54">
        <v>2372.0419999999999</v>
      </c>
      <c r="E33" s="53">
        <v>115848</v>
      </c>
      <c r="F33" s="39">
        <v>418450.34700000001</v>
      </c>
      <c r="G33" s="39">
        <v>528126.50800000003</v>
      </c>
      <c r="H33" s="43">
        <f t="shared" si="5"/>
        <v>79.232975558197126</v>
      </c>
      <c r="I33" s="55">
        <v>1274.2738999999999</v>
      </c>
      <c r="J33" s="55">
        <v>38.316099999999999</v>
      </c>
      <c r="K33" s="55">
        <f t="shared" si="6"/>
        <v>1312.59</v>
      </c>
      <c r="L33" s="56">
        <v>43937.286434999995</v>
      </c>
      <c r="M33" s="55">
        <v>5395.4949093508812</v>
      </c>
      <c r="N33" s="55">
        <v>1014.5483161000001</v>
      </c>
      <c r="O33" s="43">
        <f t="shared" si="7"/>
        <v>50347.32966045088</v>
      </c>
      <c r="P33" s="56">
        <v>63490.215199999999</v>
      </c>
      <c r="Q33" s="43">
        <f t="shared" si="8"/>
        <v>79.299352666945893</v>
      </c>
    </row>
    <row r="34" spans="1:17" ht="23.1" customHeight="1" x14ac:dyDescent="0.3">
      <c r="A34" s="47" t="s">
        <v>33</v>
      </c>
      <c r="B34" s="57">
        <v>916</v>
      </c>
      <c r="C34" s="58">
        <v>3854.55</v>
      </c>
      <c r="D34" s="59">
        <v>2882.308</v>
      </c>
      <c r="E34" s="57">
        <v>147340</v>
      </c>
      <c r="F34" s="58">
        <v>526992.93099999998</v>
      </c>
      <c r="G34" s="58">
        <v>631917.78799999994</v>
      </c>
      <c r="H34" s="50">
        <f t="shared" si="5"/>
        <v>83.395805753136997</v>
      </c>
      <c r="I34" s="60">
        <v>1456.5724499999999</v>
      </c>
      <c r="J34" s="60">
        <v>36.782200000000003</v>
      </c>
      <c r="K34" s="60">
        <f t="shared" si="6"/>
        <v>1493.35465</v>
      </c>
      <c r="L34" s="61">
        <v>55334.257754999984</v>
      </c>
      <c r="M34" s="60">
        <v>5391.6434258764293</v>
      </c>
      <c r="N34" s="60">
        <v>207.6544252999999</v>
      </c>
      <c r="O34" s="62">
        <f t="shared" si="7"/>
        <v>60933.555606176415</v>
      </c>
      <c r="P34" s="61">
        <v>71316.202400000009</v>
      </c>
      <c r="Q34" s="62">
        <f t="shared" si="8"/>
        <v>85.441391374726933</v>
      </c>
    </row>
    <row r="35" spans="1:17" ht="23.1" customHeight="1" x14ac:dyDescent="0.3">
      <c r="A35" s="63" t="s">
        <v>34</v>
      </c>
      <c r="B35" s="64">
        <f t="shared" ref="B35:G35" si="9">SUM(B23:B34)</f>
        <v>5400</v>
      </c>
      <c r="C35" s="64">
        <f t="shared" si="9"/>
        <v>23242.74</v>
      </c>
      <c r="D35" s="64">
        <f t="shared" si="9"/>
        <v>17619.116999999998</v>
      </c>
      <c r="E35" s="64">
        <f t="shared" si="9"/>
        <v>850801</v>
      </c>
      <c r="F35" s="64">
        <f t="shared" si="9"/>
        <v>3181982.3089999999</v>
      </c>
      <c r="G35" s="64">
        <f t="shared" si="9"/>
        <v>3950321.2439999999</v>
      </c>
      <c r="H35" s="65">
        <f t="shared" si="5"/>
        <v>80.549963217118048</v>
      </c>
      <c r="I35" s="66">
        <f>SUM(I23:I34)</f>
        <v>11449.29135</v>
      </c>
      <c r="J35" s="66">
        <f>SUM(J23:J34)</f>
        <v>134.0848</v>
      </c>
      <c r="K35" s="66">
        <f t="shared" si="6"/>
        <v>11583.37615</v>
      </c>
      <c r="L35" s="66">
        <f>SUM(L23:L34)</f>
        <v>334108.142445</v>
      </c>
      <c r="M35" s="66">
        <f>SUM(M23:M34)</f>
        <v>63115.067840227319</v>
      </c>
      <c r="N35" s="66">
        <f>SUM(N23:N34)</f>
        <v>1552.8247032000002</v>
      </c>
      <c r="O35" s="66">
        <f t="shared" si="7"/>
        <v>398776.03498842736</v>
      </c>
      <c r="P35" s="66">
        <f>SUM(P23:P34)</f>
        <v>502590.32</v>
      </c>
      <c r="Q35" s="66">
        <f t="shared" si="8"/>
        <v>79.34415350228538</v>
      </c>
    </row>
    <row r="36" spans="1:17" x14ac:dyDescent="0.3">
      <c r="A36" s="151" t="s">
        <v>35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60">
        <v>2022</v>
      </c>
      <c r="B39" s="160"/>
      <c r="C39" s="161" t="s">
        <v>39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 t="s">
        <v>1</v>
      </c>
      <c r="P39" s="162"/>
      <c r="Q39" s="162"/>
    </row>
    <row r="40" spans="1:17" ht="28.9" customHeight="1" x14ac:dyDescent="0.3">
      <c r="A40" s="163" t="s">
        <v>2</v>
      </c>
      <c r="B40" s="163" t="s">
        <v>3</v>
      </c>
      <c r="C40" s="163"/>
      <c r="D40" s="163"/>
      <c r="E40" s="164" t="s">
        <v>4</v>
      </c>
      <c r="F40" s="164" t="s">
        <v>5</v>
      </c>
      <c r="G40" s="164" t="s">
        <v>6</v>
      </c>
      <c r="H40" s="164" t="s">
        <v>7</v>
      </c>
      <c r="I40" s="163" t="s">
        <v>8</v>
      </c>
      <c r="J40" s="163"/>
      <c r="K40" s="163"/>
      <c r="L40" s="163" t="s">
        <v>9</v>
      </c>
      <c r="M40" s="163"/>
      <c r="N40" s="163"/>
      <c r="O40" s="163"/>
      <c r="P40" s="164" t="s">
        <v>10</v>
      </c>
      <c r="Q40" s="164" t="s">
        <v>11</v>
      </c>
    </row>
    <row r="41" spans="1:17" ht="178.5" customHeight="1" x14ac:dyDescent="0.3">
      <c r="A41" s="163"/>
      <c r="B41" s="67" t="s">
        <v>12</v>
      </c>
      <c r="C41" s="67" t="s">
        <v>13</v>
      </c>
      <c r="D41" s="67" t="s">
        <v>14</v>
      </c>
      <c r="E41" s="165"/>
      <c r="F41" s="165"/>
      <c r="G41" s="165"/>
      <c r="H41" s="165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65"/>
      <c r="Q41" s="165"/>
    </row>
    <row r="42" spans="1:17" ht="25.5" customHeight="1" x14ac:dyDescent="0.3">
      <c r="A42" s="69" t="s">
        <v>22</v>
      </c>
      <c r="B42" s="70">
        <v>2</v>
      </c>
      <c r="C42" s="71">
        <v>12.19</v>
      </c>
      <c r="D42" s="72">
        <v>1.3340000000000001</v>
      </c>
      <c r="E42" s="70">
        <v>155</v>
      </c>
      <c r="F42" s="71">
        <v>103.38500000000001</v>
      </c>
      <c r="G42" s="71">
        <v>210.77199999999999</v>
      </c>
      <c r="H42" s="73">
        <f t="shared" ref="H42:H54" si="10">IFERROR(F42/G42*100," ")</f>
        <v>49.050632911392412</v>
      </c>
      <c r="I42" s="74"/>
      <c r="J42" s="75"/>
      <c r="K42" s="73" t="str">
        <f>IF(AND(ISBLANK(I42),ISBLANK(J42))=TRUE,"",I42+J42)</f>
        <v/>
      </c>
      <c r="L42" s="74">
        <v>9.3046499999999988</v>
      </c>
      <c r="M42" s="75"/>
      <c r="N42" s="75"/>
      <c r="O42" s="73">
        <f>IF(AND(ISBLANK(L42),ISBLANK(M42),ISBLANK(N42))=TRUE,"",L42+M42+N42)</f>
        <v>9.3046499999999988</v>
      </c>
      <c r="P42" s="74">
        <v>22.411200000000001</v>
      </c>
      <c r="Q42" s="73">
        <f>IFERROR(O42/P42*100," ")</f>
        <v>41.517857142857132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>
        <v>14</v>
      </c>
      <c r="C44" s="84">
        <v>65.5</v>
      </c>
      <c r="D44" s="85">
        <v>17.734000000000002</v>
      </c>
      <c r="E44" s="83">
        <v>1914</v>
      </c>
      <c r="F44" s="84">
        <v>2531.0679999999998</v>
      </c>
      <c r="G44" s="84">
        <v>3006.2320000000009</v>
      </c>
      <c r="H44" s="86">
        <f t="shared" si="10"/>
        <v>84.194034259498238</v>
      </c>
      <c r="I44" s="87">
        <v>0</v>
      </c>
      <c r="J44" s="88"/>
      <c r="K44" s="86">
        <f t="shared" si="11"/>
        <v>0</v>
      </c>
      <c r="L44" s="87">
        <v>240.00000000000006</v>
      </c>
      <c r="M44" s="88">
        <v>0</v>
      </c>
      <c r="N44" s="88">
        <v>489.93424245000006</v>
      </c>
      <c r="O44" s="86">
        <f t="shared" si="12"/>
        <v>729.93424245000006</v>
      </c>
      <c r="P44" s="87">
        <v>3006.2320000000009</v>
      </c>
      <c r="Q44" s="86">
        <f t="shared" si="13"/>
        <v>24.280702302749749</v>
      </c>
    </row>
    <row r="45" spans="1:17" ht="25.5" customHeight="1" x14ac:dyDescent="0.3">
      <c r="A45" s="76" t="s">
        <v>25</v>
      </c>
      <c r="B45" s="77">
        <v>2</v>
      </c>
      <c r="C45" s="89">
        <v>32.020000000000003</v>
      </c>
      <c r="D45" s="79">
        <v>0.90800000000000003</v>
      </c>
      <c r="E45" s="77">
        <v>318</v>
      </c>
      <c r="F45" s="78">
        <v>144.37200000000001</v>
      </c>
      <c r="G45" s="78">
        <v>163.44</v>
      </c>
      <c r="H45" s="80">
        <f t="shared" si="10"/>
        <v>88.333333333333343</v>
      </c>
      <c r="I45" s="81">
        <v>0</v>
      </c>
      <c r="J45" s="82"/>
      <c r="K45" s="80">
        <f t="shared" si="11"/>
        <v>0</v>
      </c>
      <c r="L45" s="81">
        <v>36</v>
      </c>
      <c r="M45" s="82">
        <v>0</v>
      </c>
      <c r="N45" s="82"/>
      <c r="O45" s="80">
        <f t="shared" si="12"/>
        <v>36</v>
      </c>
      <c r="P45" s="81">
        <v>163.44</v>
      </c>
      <c r="Q45" s="80">
        <f t="shared" si="13"/>
        <v>22.026431718061673</v>
      </c>
    </row>
    <row r="46" spans="1:17" ht="25.5" customHeight="1" x14ac:dyDescent="0.3">
      <c r="A46" s="69" t="s">
        <v>26</v>
      </c>
      <c r="B46" s="83">
        <v>6</v>
      </c>
      <c r="C46" s="90">
        <v>13.6</v>
      </c>
      <c r="D46" s="85">
        <v>8.6920000000000002</v>
      </c>
      <c r="E46" s="83">
        <v>530</v>
      </c>
      <c r="F46" s="84">
        <v>789.49</v>
      </c>
      <c r="G46" s="84">
        <v>1484.0960000000002</v>
      </c>
      <c r="H46" s="86">
        <f t="shared" si="10"/>
        <v>53.196693475354685</v>
      </c>
      <c r="I46" s="87"/>
      <c r="J46" s="88"/>
      <c r="K46" s="86" t="str">
        <f t="shared" si="11"/>
        <v/>
      </c>
      <c r="L46" s="87">
        <v>108.89999999999999</v>
      </c>
      <c r="M46" s="88">
        <v>0</v>
      </c>
      <c r="N46" s="88">
        <v>0</v>
      </c>
      <c r="O46" s="86">
        <f t="shared" si="12"/>
        <v>108.89999999999999</v>
      </c>
      <c r="P46" s="87">
        <v>159.2484</v>
      </c>
      <c r="Q46" s="86">
        <f t="shared" si="13"/>
        <v>68.383732583812446</v>
      </c>
    </row>
    <row r="47" spans="1:17" ht="25.5" customHeight="1" x14ac:dyDescent="0.3">
      <c r="A47" s="76" t="s">
        <v>27</v>
      </c>
      <c r="B47" s="91">
        <v>1</v>
      </c>
      <c r="C47" s="92">
        <v>21.32</v>
      </c>
      <c r="D47" s="79">
        <v>1.276</v>
      </c>
      <c r="E47" s="91">
        <v>82</v>
      </c>
      <c r="F47" s="92">
        <v>104.63200000000001</v>
      </c>
      <c r="G47" s="92">
        <v>229.68</v>
      </c>
      <c r="H47" s="80">
        <f t="shared" si="10"/>
        <v>45.555555555555557</v>
      </c>
      <c r="I47" s="93">
        <v>0</v>
      </c>
      <c r="J47" s="94"/>
      <c r="K47" s="80">
        <f t="shared" si="11"/>
        <v>0</v>
      </c>
      <c r="L47" s="93">
        <v>9.4168800000000008</v>
      </c>
      <c r="M47" s="94">
        <v>0</v>
      </c>
      <c r="N47" s="94">
        <v>0</v>
      </c>
      <c r="O47" s="80">
        <f t="shared" si="12"/>
        <v>9.4168800000000008</v>
      </c>
      <c r="P47" s="93">
        <v>25.52</v>
      </c>
      <c r="Q47" s="80">
        <f t="shared" si="13"/>
        <v>36.900000000000006</v>
      </c>
    </row>
    <row r="48" spans="1:17" s="102" customFormat="1" ht="25.5" customHeight="1" x14ac:dyDescent="0.3">
      <c r="A48" s="95" t="s">
        <v>28</v>
      </c>
      <c r="B48" s="96">
        <v>1</v>
      </c>
      <c r="C48" s="97">
        <v>0.37</v>
      </c>
      <c r="D48" s="98">
        <v>0.23499999999999999</v>
      </c>
      <c r="E48" s="96">
        <v>123</v>
      </c>
      <c r="F48" s="97">
        <v>28.905000000000001</v>
      </c>
      <c r="G48" s="97">
        <v>38.54</v>
      </c>
      <c r="H48" s="99">
        <f t="shared" si="10"/>
        <v>75</v>
      </c>
      <c r="I48" s="100"/>
      <c r="J48" s="101"/>
      <c r="K48" s="99" t="str">
        <f t="shared" si="11"/>
        <v/>
      </c>
      <c r="L48" s="100">
        <v>2.6014499999999998</v>
      </c>
      <c r="M48" s="101"/>
      <c r="N48" s="101"/>
      <c r="O48" s="99">
        <f t="shared" si="12"/>
        <v>2.6014499999999998</v>
      </c>
      <c r="P48" s="100">
        <v>3.948</v>
      </c>
      <c r="Q48" s="99">
        <f t="shared" si="13"/>
        <v>65.892857142857139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>
        <v>2</v>
      </c>
      <c r="C50" s="105">
        <v>4.1900000000000004</v>
      </c>
      <c r="D50" s="106">
        <v>2.552</v>
      </c>
      <c r="E50" s="104">
        <v>261</v>
      </c>
      <c r="F50" s="105">
        <v>333.036</v>
      </c>
      <c r="G50" s="105">
        <v>438.94400000000002</v>
      </c>
      <c r="H50" s="86">
        <f t="shared" si="10"/>
        <v>75.872093023255815</v>
      </c>
      <c r="I50" s="107">
        <v>0</v>
      </c>
      <c r="J50" s="108"/>
      <c r="K50" s="86">
        <f t="shared" si="11"/>
        <v>0</v>
      </c>
      <c r="L50" s="107">
        <v>29.973240000000001</v>
      </c>
      <c r="M50" s="108">
        <v>0</v>
      </c>
      <c r="N50" s="108"/>
      <c r="O50" s="86">
        <f t="shared" si="12"/>
        <v>29.973240000000001</v>
      </c>
      <c r="P50" s="107">
        <v>46.956800000000001</v>
      </c>
      <c r="Q50" s="86">
        <f t="shared" si="13"/>
        <v>63.831521739130437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>
        <v>4</v>
      </c>
      <c r="C52" s="105">
        <v>7.47</v>
      </c>
      <c r="D52" s="106">
        <v>4.6779999999999999</v>
      </c>
      <c r="E52" s="104">
        <v>701</v>
      </c>
      <c r="F52" s="105">
        <v>814.20100000000002</v>
      </c>
      <c r="G52" s="105">
        <v>842.04</v>
      </c>
      <c r="H52" s="86">
        <f t="shared" si="10"/>
        <v>96.693862524345647</v>
      </c>
      <c r="I52" s="107">
        <v>0</v>
      </c>
      <c r="J52" s="108">
        <v>0</v>
      </c>
      <c r="K52" s="86">
        <f t="shared" si="11"/>
        <v>0</v>
      </c>
      <c r="L52" s="107">
        <v>73.278090000000006</v>
      </c>
      <c r="M52" s="108">
        <v>0</v>
      </c>
      <c r="N52" s="108">
        <v>0</v>
      </c>
      <c r="O52" s="86">
        <f t="shared" si="12"/>
        <v>73.278090000000006</v>
      </c>
      <c r="P52" s="107">
        <v>93.56</v>
      </c>
      <c r="Q52" s="86">
        <f t="shared" si="13"/>
        <v>78.322028644719964</v>
      </c>
    </row>
    <row r="53" spans="1:17" ht="25.5" customHeight="1" x14ac:dyDescent="0.3">
      <c r="A53" s="76" t="s">
        <v>33</v>
      </c>
      <c r="B53" s="109">
        <v>8</v>
      </c>
      <c r="C53" s="110">
        <v>10.4</v>
      </c>
      <c r="D53" s="111">
        <v>5.3719999999999999</v>
      </c>
      <c r="E53" s="109">
        <v>1215</v>
      </c>
      <c r="F53" s="110">
        <v>780.63799999999992</v>
      </c>
      <c r="G53" s="110">
        <v>908.80799999999999</v>
      </c>
      <c r="H53" s="112">
        <f t="shared" si="10"/>
        <v>85.89691111874015</v>
      </c>
      <c r="I53" s="113"/>
      <c r="J53" s="114"/>
      <c r="K53" s="112" t="str">
        <f t="shared" si="11"/>
        <v/>
      </c>
      <c r="L53" s="113">
        <v>70.257419999999996</v>
      </c>
      <c r="M53" s="114">
        <v>0</v>
      </c>
      <c r="N53" s="114"/>
      <c r="O53" s="112">
        <f t="shared" si="12"/>
        <v>70.257419999999996</v>
      </c>
      <c r="P53" s="113">
        <v>95.312000000000012</v>
      </c>
      <c r="Q53" s="112">
        <f t="shared" si="13"/>
        <v>73.713089642437453</v>
      </c>
    </row>
    <row r="54" spans="1:17" ht="25.5" customHeight="1" x14ac:dyDescent="0.3">
      <c r="A54" s="115" t="s">
        <v>34</v>
      </c>
      <c r="B54" s="116">
        <f t="shared" ref="B54:G54" si="14">SUM(B42:B53)</f>
        <v>40</v>
      </c>
      <c r="C54" s="116">
        <f t="shared" si="14"/>
        <v>167.06</v>
      </c>
      <c r="D54" s="116">
        <f t="shared" si="14"/>
        <v>42.780999999999999</v>
      </c>
      <c r="E54" s="116">
        <f t="shared" si="14"/>
        <v>5299</v>
      </c>
      <c r="F54" s="116">
        <f t="shared" si="14"/>
        <v>5629.7269999999999</v>
      </c>
      <c r="G54" s="116">
        <f t="shared" si="14"/>
        <v>7322.5520000000015</v>
      </c>
      <c r="H54" s="117">
        <f t="shared" si="10"/>
        <v>76.882035115626337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579.73172999999997</v>
      </c>
      <c r="M54" s="117">
        <f>SUM(M42:M53)</f>
        <v>0</v>
      </c>
      <c r="N54" s="117">
        <f>SUM(N42:N53)</f>
        <v>489.93424245000006</v>
      </c>
      <c r="O54" s="117">
        <f t="shared" si="12"/>
        <v>1069.66597245</v>
      </c>
      <c r="P54" s="118">
        <f>SUM(P42:P53)</f>
        <v>3616.6284000000005</v>
      </c>
      <c r="Q54" s="117">
        <f t="shared" si="13"/>
        <v>29.576330608087904</v>
      </c>
    </row>
    <row r="55" spans="1:17" ht="22.5" customHeight="1" x14ac:dyDescent="0.3">
      <c r="A55" s="151" t="s">
        <v>35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66">
        <v>2022</v>
      </c>
      <c r="B58" s="166"/>
      <c r="C58" s="167" t="s">
        <v>40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8" t="s">
        <v>1</v>
      </c>
      <c r="P58" s="168"/>
      <c r="Q58" s="168"/>
    </row>
    <row r="59" spans="1:17" ht="28.9" customHeight="1" x14ac:dyDescent="0.3">
      <c r="A59" s="169" t="s">
        <v>2</v>
      </c>
      <c r="B59" s="169" t="s">
        <v>3</v>
      </c>
      <c r="C59" s="169"/>
      <c r="D59" s="169"/>
      <c r="E59" s="170" t="s">
        <v>4</v>
      </c>
      <c r="F59" s="170" t="s">
        <v>5</v>
      </c>
      <c r="G59" s="170" t="s">
        <v>6</v>
      </c>
      <c r="H59" s="170" t="s">
        <v>7</v>
      </c>
      <c r="I59" s="169" t="s">
        <v>8</v>
      </c>
      <c r="J59" s="169"/>
      <c r="K59" s="169"/>
      <c r="L59" s="169" t="s">
        <v>9</v>
      </c>
      <c r="M59" s="169"/>
      <c r="N59" s="169"/>
      <c r="O59" s="169"/>
      <c r="P59" s="170" t="s">
        <v>10</v>
      </c>
      <c r="Q59" s="170" t="s">
        <v>11</v>
      </c>
    </row>
    <row r="60" spans="1:17" ht="164.25" customHeight="1" x14ac:dyDescent="0.3">
      <c r="A60" s="169"/>
      <c r="B60" s="119" t="s">
        <v>12</v>
      </c>
      <c r="C60" s="119" t="s">
        <v>13</v>
      </c>
      <c r="D60" s="119" t="s">
        <v>14</v>
      </c>
      <c r="E60" s="171"/>
      <c r="F60" s="171"/>
      <c r="G60" s="171"/>
      <c r="H60" s="171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71"/>
      <c r="Q60" s="171"/>
    </row>
    <row r="61" spans="1:17" ht="24.75" customHeight="1" x14ac:dyDescent="0.3">
      <c r="A61" s="121" t="s">
        <v>22</v>
      </c>
      <c r="B61" s="122">
        <v>437</v>
      </c>
      <c r="C61" s="123">
        <v>1929.31</v>
      </c>
      <c r="D61" s="124">
        <v>1456.5119999999999</v>
      </c>
      <c r="E61" s="122">
        <v>49240</v>
      </c>
      <c r="F61" s="123">
        <v>198468.60500000001</v>
      </c>
      <c r="G61" s="123">
        <v>332174.28399999999</v>
      </c>
      <c r="H61" s="125">
        <f t="shared" ref="H61:H73" si="15">IFERROR(F61/G61*100," ")</f>
        <v>59.74833530460775</v>
      </c>
      <c r="I61" s="126">
        <v>989.19500000000005</v>
      </c>
      <c r="J61" s="127"/>
      <c r="K61" s="127">
        <f>IF(AND(ISBLANK(I61),ISBLANK(J61))=TRUE,"",I61+J61)</f>
        <v>989.19500000000005</v>
      </c>
      <c r="L61" s="126">
        <v>20839.203524999994</v>
      </c>
      <c r="M61" s="127">
        <v>5556.8987248249996</v>
      </c>
      <c r="N61" s="127">
        <v>0</v>
      </c>
      <c r="O61" s="128">
        <f>IF(AND(ISBLANK(L61),ISBLANK(M61),ISBLANK(N61))=TRUE,"",L61+M61+N61)</f>
        <v>26396.102249824995</v>
      </c>
      <c r="P61" s="127">
        <v>42812.322399999997</v>
      </c>
      <c r="Q61" s="125">
        <f>IFERROR(O61/P61*100," ")</f>
        <v>61.655385108996086</v>
      </c>
    </row>
    <row r="62" spans="1:17" ht="24.75" customHeight="1" x14ac:dyDescent="0.3">
      <c r="A62" s="76" t="s">
        <v>23</v>
      </c>
      <c r="B62" s="91">
        <v>365</v>
      </c>
      <c r="C62" s="92">
        <v>1572.34</v>
      </c>
      <c r="D62" s="103">
        <v>1191.547</v>
      </c>
      <c r="E62" s="91">
        <v>48392</v>
      </c>
      <c r="F62" s="92">
        <v>186770.09399999998</v>
      </c>
      <c r="G62" s="92">
        <v>274304.516</v>
      </c>
      <c r="H62" s="129">
        <f t="shared" si="15"/>
        <v>68.088596106088161</v>
      </c>
      <c r="I62" s="93">
        <v>1044.9375</v>
      </c>
      <c r="J62" s="94"/>
      <c r="K62" s="94">
        <f t="shared" ref="K62:K73" si="16">IF(AND(ISBLANK(I62),ISBLANK(J62))=TRUE,"",I62+J62)</f>
        <v>1044.9375</v>
      </c>
      <c r="L62" s="93">
        <v>19610.85987</v>
      </c>
      <c r="M62" s="94">
        <v>5980.127862257501</v>
      </c>
      <c r="N62" s="94">
        <v>0</v>
      </c>
      <c r="O62" s="80">
        <f t="shared" ref="O62:O73" si="17">IF(AND(ISBLANK(L62),ISBLANK(M62),ISBLANK(N62))=TRUE,"",L62+M62+N62)</f>
        <v>25590.987732257501</v>
      </c>
      <c r="P62" s="94">
        <v>38904.632799999992</v>
      </c>
      <c r="Q62" s="129">
        <f t="shared" ref="Q62:Q73" si="18">IFERROR(O62/P62*100," ")</f>
        <v>65.778766924276184</v>
      </c>
    </row>
    <row r="63" spans="1:17" ht="24.75" customHeight="1" x14ac:dyDescent="0.3">
      <c r="A63" s="121" t="s">
        <v>24</v>
      </c>
      <c r="B63" s="130">
        <v>448</v>
      </c>
      <c r="C63" s="131">
        <v>1669.34</v>
      </c>
      <c r="D63" s="132">
        <v>1314.9289999999999</v>
      </c>
      <c r="E63" s="130">
        <v>66755</v>
      </c>
      <c r="F63" s="131">
        <v>226216.353</v>
      </c>
      <c r="G63" s="131">
        <v>294199.24599999998</v>
      </c>
      <c r="H63" s="133">
        <f t="shared" si="15"/>
        <v>76.89222731726511</v>
      </c>
      <c r="I63" s="134">
        <v>1201.2774999999999</v>
      </c>
      <c r="J63" s="135"/>
      <c r="K63" s="135">
        <f t="shared" si="16"/>
        <v>1201.2774999999999</v>
      </c>
      <c r="L63" s="134">
        <v>23575.929734999994</v>
      </c>
      <c r="M63" s="135">
        <v>6864.6642893775006</v>
      </c>
      <c r="N63" s="135">
        <v>0</v>
      </c>
      <c r="O63" s="136">
        <f t="shared" si="17"/>
        <v>30440.594024377497</v>
      </c>
      <c r="P63" s="135">
        <v>55932.424399999996</v>
      </c>
      <c r="Q63" s="133">
        <f t="shared" si="18"/>
        <v>54.423877296435407</v>
      </c>
    </row>
    <row r="64" spans="1:17" ht="24.75" customHeight="1" x14ac:dyDescent="0.3">
      <c r="A64" s="76" t="s">
        <v>25</v>
      </c>
      <c r="B64" s="91">
        <v>6</v>
      </c>
      <c r="C64" s="92">
        <v>11.42</v>
      </c>
      <c r="D64" s="103">
        <v>18.306000000000001</v>
      </c>
      <c r="E64" s="91">
        <v>527</v>
      </c>
      <c r="F64" s="92">
        <v>1540.4209999999998</v>
      </c>
      <c r="G64" s="92">
        <v>3295.08</v>
      </c>
      <c r="H64" s="129">
        <f t="shared" si="15"/>
        <v>46.749122934799757</v>
      </c>
      <c r="I64" s="93">
        <v>1.597</v>
      </c>
      <c r="J64" s="94"/>
      <c r="K64" s="94">
        <f t="shared" si="16"/>
        <v>1.597</v>
      </c>
      <c r="L64" s="93">
        <v>108</v>
      </c>
      <c r="M64" s="94">
        <v>0.53307061499999997</v>
      </c>
      <c r="N64" s="94"/>
      <c r="O64" s="80">
        <f t="shared" si="17"/>
        <v>108.533070615</v>
      </c>
      <c r="P64" s="94">
        <v>3295.08</v>
      </c>
      <c r="Q64" s="129">
        <f t="shared" si="18"/>
        <v>3.2937916716741324</v>
      </c>
    </row>
    <row r="65" spans="1:17" ht="24.75" customHeight="1" x14ac:dyDescent="0.3">
      <c r="A65" s="121" t="s">
        <v>26</v>
      </c>
      <c r="B65" s="130">
        <v>8</v>
      </c>
      <c r="C65" s="131">
        <v>32.75</v>
      </c>
      <c r="D65" s="132">
        <v>24.407999999999998</v>
      </c>
      <c r="E65" s="130">
        <v>694</v>
      </c>
      <c r="F65" s="131">
        <v>2028.5619999999999</v>
      </c>
      <c r="G65" s="131">
        <v>4393.4399999999996</v>
      </c>
      <c r="H65" s="133">
        <f t="shared" si="15"/>
        <v>46.172520849266178</v>
      </c>
      <c r="I65" s="134">
        <v>6.8159999999999998</v>
      </c>
      <c r="J65" s="135"/>
      <c r="K65" s="135">
        <f t="shared" si="16"/>
        <v>6.8159999999999998</v>
      </c>
      <c r="L65" s="134">
        <v>160</v>
      </c>
      <c r="M65" s="135">
        <v>2.27514672</v>
      </c>
      <c r="N65" s="135">
        <v>0</v>
      </c>
      <c r="O65" s="136">
        <f t="shared" si="17"/>
        <v>162.27514672000001</v>
      </c>
      <c r="P65" s="135">
        <v>488.15999999999991</v>
      </c>
      <c r="Q65" s="133">
        <f t="shared" si="18"/>
        <v>33.242204752540161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>
        <v>2</v>
      </c>
      <c r="C72" s="110">
        <v>5.3833333333333337</v>
      </c>
      <c r="D72" s="111">
        <v>3.78</v>
      </c>
      <c r="E72" s="109">
        <v>44</v>
      </c>
      <c r="F72" s="110">
        <v>83.16</v>
      </c>
      <c r="G72" s="110">
        <v>619.91999999999996</v>
      </c>
      <c r="H72" s="112">
        <f t="shared" si="15"/>
        <v>13.414634146341465</v>
      </c>
      <c r="I72" s="113"/>
      <c r="J72" s="114"/>
      <c r="K72" s="114" t="str">
        <f t="shared" si="16"/>
        <v/>
      </c>
      <c r="L72" s="113">
        <v>8.7317999999999998</v>
      </c>
      <c r="M72" s="114">
        <v>0</v>
      </c>
      <c r="N72" s="114">
        <v>0</v>
      </c>
      <c r="O72" s="112">
        <f t="shared" si="17"/>
        <v>8.7317999999999998</v>
      </c>
      <c r="P72" s="114">
        <v>63.503999999999998</v>
      </c>
      <c r="Q72" s="112">
        <f t="shared" si="18"/>
        <v>13.750000000000002</v>
      </c>
    </row>
    <row r="73" spans="1:17" ht="24.75" customHeight="1" x14ac:dyDescent="0.3">
      <c r="A73" s="137" t="s">
        <v>34</v>
      </c>
      <c r="B73" s="138">
        <f t="shared" ref="B73:G73" si="19">SUM(B61:B72)</f>
        <v>1266</v>
      </c>
      <c r="C73" s="138">
        <f t="shared" si="19"/>
        <v>5220.5433333333331</v>
      </c>
      <c r="D73" s="138">
        <f t="shared" si="19"/>
        <v>4009.4820000000004</v>
      </c>
      <c r="E73" s="138">
        <f t="shared" si="19"/>
        <v>165652</v>
      </c>
      <c r="F73" s="138">
        <f t="shared" si="19"/>
        <v>615107.19500000007</v>
      </c>
      <c r="G73" s="138">
        <f t="shared" si="19"/>
        <v>908986.48600000003</v>
      </c>
      <c r="H73" s="139">
        <f t="shared" si="15"/>
        <v>67.669564341575921</v>
      </c>
      <c r="I73" s="140">
        <f>SUM(I61:I72)</f>
        <v>3243.8229999999999</v>
      </c>
      <c r="J73" s="140">
        <f>SUM(J61:J72)</f>
        <v>0</v>
      </c>
      <c r="K73" s="140">
        <f t="shared" si="16"/>
        <v>3243.8229999999999</v>
      </c>
      <c r="L73" s="140">
        <f>SUM(L61:L72)</f>
        <v>64302.724929999989</v>
      </c>
      <c r="M73" s="140">
        <f>SUM(M61:M72)</f>
        <v>18404.499093795002</v>
      </c>
      <c r="N73" s="140">
        <f>SUM(N61:N72)</f>
        <v>0</v>
      </c>
      <c r="O73" s="140">
        <f t="shared" si="17"/>
        <v>82707.224023794988</v>
      </c>
      <c r="P73" s="140">
        <f>SUM(P61:P72)</f>
        <v>141496.12359999996</v>
      </c>
      <c r="Q73" s="139">
        <f t="shared" si="18"/>
        <v>58.451936293041328</v>
      </c>
    </row>
    <row r="74" spans="1:17" x14ac:dyDescent="0.3">
      <c r="A74" s="151" t="s">
        <v>35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2023-01-13T09:06:11Z</dcterms:created>
  <dcterms:modified xsi:type="dcterms:W3CDTF">2023-01-20T11:32:29Z</dcterms:modified>
</cp:coreProperties>
</file>