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LLIANCE AIR (NATIONAL)\"/>
    </mc:Choice>
  </mc:AlternateContent>
  <bookViews>
    <workbookView xWindow="0" yWindow="0" windowWidth="24000" windowHeight="9435"/>
  </bookViews>
  <sheets>
    <sheet name="ALLIANCE AIR" sheetId="1" r:id="rId1"/>
  </sheets>
  <definedNames>
    <definedName name="_xlnm.Print_Area" localSheetId="0">'ALLIANCE AIR'!$A$1:$Q$19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H17" i="1"/>
  <c r="H6" i="1" l="1"/>
  <c r="Q6" i="1"/>
  <c r="Q7" i="1" l="1"/>
  <c r="Q8" i="1"/>
  <c r="Q9" i="1"/>
  <c r="Q10" i="1"/>
  <c r="Q11" i="1"/>
  <c r="Q12" i="1"/>
  <c r="Q13" i="1"/>
  <c r="Q14" i="1"/>
  <c r="Q15" i="1"/>
  <c r="Q16" i="1"/>
  <c r="H7" i="1"/>
  <c r="H8" i="1"/>
  <c r="H9" i="1"/>
  <c r="H10" i="1"/>
  <c r="H11" i="1"/>
  <c r="H12" i="1"/>
  <c r="H13" i="1"/>
  <c r="H14" i="1"/>
  <c r="H15" i="1"/>
  <c r="H16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<sst xmlns="http://schemas.openxmlformats.org/spreadsheetml/2006/main" count="26" uniqueCount="24">
  <si>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</si>
  <si>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</si>
  <si>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</si>
  <si>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</si>
  <si>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</si>
  <si>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</si>
  <si>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</si>
  <si>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</si>
  <si>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</si>
  <si>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</si>
  <si>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</si>
  <si>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</si>
  <si>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</si>
  <si>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</si>
  <si>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</si>
  <si>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</si>
  <si>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</si>
  <si>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</si>
  <si>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</si>
  <si>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(एलाइंस एयर) </t>
  </si>
  <si>
    <t>Table 1.01 (ALLIANCE AIR)</t>
  </si>
  <si>
    <t>SOURCE:-  ICAO ATR FORM 'A' FURNISHED BY ALLIANCE AIR</t>
  </si>
  <si>
    <t>MONTHLY TRAFFIC AND OPERATING STATISTICS OF ALLIANCE AIR ON SCHEDULED DOMESTIC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</si>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</sst>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4" fontId="4" fillId="4" borderId="1" xfId="3" applyNumberFormat="1" applyFont="1" applyBorder="1" applyAlignment="1" applyProtection="1">
      <alignment horizontal="right" vertical="center" wrapText="1"/>
    </xf>
    <xf numFmtId="168" fontId="0" fillId="4" borderId="1" xfId="3" applyNumberFormat="1" applyFont="1" applyBorder="1" applyAlignment="1" applyProtection="1">
      <alignment horizontal="center" vertical="center" wrapText="1"/>
    </xf>
    <xf numFmtId="168" fontId="3" fillId="5" borderId="1" xfId="3" applyNumberFormat="1" applyFont="1" applyFill="1" applyBorder="1" applyAlignment="1" applyProtection="1">
      <alignment horizontal="center" vertical="center" wrapText="1"/>
    </xf>
    <xf numFmtId="168" fontId="3" fillId="4" borderId="1" xfId="3" applyNumberFormat="1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7" fontId="4" fillId="4" borderId="1" xfId="3" applyNumberFormat="1" applyFont="1" applyBorder="1" applyAlignment="1" applyProtection="1">
      <alignment horizontal="center" vertical="center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zoomScaleNormal="100" zoomScaleSheetLayoutView="100" workbookViewId="0">
      <selection activeCell="F9" sqref="F9"/>
    </sheetView>
  </sheetViews>
  <sheetFormatPr defaultColWidth="9.140625" defaultRowHeight="15" x14ac:dyDescent="0.25"/>
  <cols>
    <col min="1" max="1" width="13.5703125" style="1" customWidth="1"/>
    <col min="2" max="2" width="8.28515625" style="1" customWidth="1"/>
    <col min="3" max="3" width="7.85546875" style="1" customWidth="1"/>
    <col min="4" max="4" width="7.28515625" style="1" customWidth="1"/>
    <col min="5" max="5" width="10.28515625" style="1" customWidth="1"/>
    <col min="6" max="6" width="7" style="1" customWidth="1"/>
    <col min="7" max="7" width="8.42578125" style="1" customWidth="1"/>
    <col min="8" max="9" width="6.28515625" style="1" customWidth="1"/>
    <col min="10" max="10" width="6.5703125" style="1" customWidth="1"/>
    <col min="11" max="11" width="6.85546875" style="1" customWidth="1"/>
    <col min="12" max="12" width="7.85546875" style="1" customWidth="1"/>
    <col min="13" max="14" width="6.85546875" style="1" customWidth="1"/>
    <col min="15" max="15" width="7.7109375" style="1" customWidth="1"/>
    <col min="16" max="16" width="8.7109375" style="1" customWidth="1"/>
    <col min="17" max="17" width="8.140625" style="1" customWidth="1"/>
    <col min="18" max="16384" width="9.140625" style="1"/>
  </cols>
  <sheetData>
    <row r="1" spans="1:17" ht="20.100000000000001" customHeight="1" x14ac:dyDescent="0.2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0.100000000000001" customHeight="1" x14ac:dyDescent="0.25">
      <c r="A2" s="20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0.100000000000001" customHeight="1" x14ac:dyDescent="0.25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0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7" t="s">
        <v>3</v>
      </c>
      <c r="H4" s="17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7" t="s">
        <v>7</v>
      </c>
      <c r="Q4" s="17" t="s">
        <v>8</v>
      </c>
    </row>
    <row r="5" spans="1:17" ht="114" customHeight="1" x14ac:dyDescent="0.25">
      <c r="A5" s="22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8"/>
      <c r="H5" s="18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8"/>
      <c r="Q5" s="18"/>
    </row>
    <row r="6" spans="1:17" ht="16.5" customHeight="1" x14ac:dyDescent="0.25">
      <c r="A6" s="13">
        <v>45383</v>
      </c>
      <c r="B6" s="3">
        <v>2708</v>
      </c>
      <c r="C6" s="3">
        <v>3671</v>
      </c>
      <c r="D6" s="3">
        <v>1007.477</v>
      </c>
      <c r="E6" s="3">
        <v>127836</v>
      </c>
      <c r="F6" s="3">
        <v>50.827803999999993</v>
      </c>
      <c r="G6" s="3">
        <v>64.295949000000007</v>
      </c>
      <c r="H6" s="6">
        <f t="shared" ref="H6:H17" si="0">F6/G6*100</f>
        <v>79.052887142236585</v>
      </c>
      <c r="I6" s="6">
        <v>6.8540000000000001</v>
      </c>
      <c r="J6" s="6">
        <v>0.26200000000000001</v>
      </c>
      <c r="K6" s="6">
        <v>7.1159999999999997</v>
      </c>
      <c r="L6" s="6">
        <v>4.6253302000000005</v>
      </c>
      <c r="M6" s="10">
        <v>3.1409173289054016E-3</v>
      </c>
      <c r="N6" s="6">
        <v>1.0663400000000001E-4</v>
      </c>
      <c r="O6" s="6">
        <v>4.6285777513289057</v>
      </c>
      <c r="P6" s="6">
        <v>6.5820475999999974</v>
      </c>
      <c r="Q6" s="6">
        <f t="shared" ref="Q6:Q18" si="1">O6/P6*100</f>
        <v>70.32124397473072</v>
      </c>
    </row>
    <row r="7" spans="1:17" ht="18" customHeight="1" x14ac:dyDescent="0.25">
      <c r="A7" s="14">
        <v>45413</v>
      </c>
      <c r="B7" s="4">
        <v>2837</v>
      </c>
      <c r="C7" s="4">
        <v>3893</v>
      </c>
      <c r="D7" s="4">
        <v>1055.7070000000001</v>
      </c>
      <c r="E7" s="4">
        <v>135176</v>
      </c>
      <c r="F7" s="4">
        <v>53.532268999999999</v>
      </c>
      <c r="G7" s="4">
        <v>67.436582000000001</v>
      </c>
      <c r="H7" s="7">
        <f t="shared" si="0"/>
        <v>79.381646299926643</v>
      </c>
      <c r="I7" s="7">
        <v>6.6289999999999996</v>
      </c>
      <c r="J7" s="7">
        <v>9.1999999999999998E-2</v>
      </c>
      <c r="K7" s="7">
        <v>6.7209999999999992</v>
      </c>
      <c r="L7" s="7">
        <v>4.8746885080065514</v>
      </c>
      <c r="M7" s="11">
        <v>3.215E-3</v>
      </c>
      <c r="N7" s="7">
        <v>3.7444000000000003E-5</v>
      </c>
      <c r="O7" s="7">
        <v>4.8779409520065506</v>
      </c>
      <c r="P7" s="7">
        <v>6.9236535999999997</v>
      </c>
      <c r="Q7" s="7">
        <f t="shared" si="1"/>
        <v>70.453278483004283</v>
      </c>
    </row>
    <row r="8" spans="1:17" ht="12.75" customHeight="1" x14ac:dyDescent="0.25">
      <c r="A8" s="15">
        <v>45444</v>
      </c>
      <c r="B8" s="3">
        <v>2869</v>
      </c>
      <c r="C8" s="3">
        <v>3893</v>
      </c>
      <c r="D8" s="3">
        <v>1052.3900000000001</v>
      </c>
      <c r="E8" s="3">
        <v>133913</v>
      </c>
      <c r="F8" s="3">
        <v>51.895877999999996</v>
      </c>
      <c r="G8" s="3">
        <v>66.001498999999995</v>
      </c>
      <c r="H8" s="6">
        <f t="shared" si="0"/>
        <v>78.628332365602787</v>
      </c>
      <c r="I8" s="6">
        <v>1.498</v>
      </c>
      <c r="J8" s="6">
        <v>0</v>
      </c>
      <c r="K8" s="6">
        <v>1.498</v>
      </c>
      <c r="L8" s="6">
        <v>4.7225249000000007</v>
      </c>
      <c r="M8" s="10">
        <v>7.7900000000000007E-4</v>
      </c>
      <c r="N8" s="6">
        <v>0</v>
      </c>
      <c r="O8" s="6">
        <v>4.7233039000000012</v>
      </c>
      <c r="P8" s="6">
        <v>6.8829599999999962</v>
      </c>
      <c r="Q8" s="6">
        <f t="shared" si="1"/>
        <v>68.62314905215203</v>
      </c>
    </row>
    <row r="9" spans="1:17" ht="15.75" customHeight="1" x14ac:dyDescent="0.25">
      <c r="A9" s="14">
        <v>45474</v>
      </c>
      <c r="B9" s="4">
        <v>2640</v>
      </c>
      <c r="C9" s="4">
        <v>3627</v>
      </c>
      <c r="D9" s="4">
        <v>985.05200000000002</v>
      </c>
      <c r="E9" s="4">
        <v>120815</v>
      </c>
      <c r="F9" s="4">
        <v>47.143065999999997</v>
      </c>
      <c r="G9" s="4">
        <v>62.341487000000001</v>
      </c>
      <c r="H9" s="7">
        <f t="shared" si="0"/>
        <v>75.620695412671182</v>
      </c>
      <c r="I9" s="7">
        <v>4.6459999999999999</v>
      </c>
      <c r="J9" s="7"/>
      <c r="K9" s="7">
        <v>4.6459999999999999</v>
      </c>
      <c r="L9" s="7">
        <v>4.290019</v>
      </c>
      <c r="M9" s="11">
        <v>2.3666186612247434E-3</v>
      </c>
      <c r="N9" s="7">
        <v>0</v>
      </c>
      <c r="O9" s="7">
        <v>4.2923856186612248</v>
      </c>
      <c r="P9" s="7">
        <v>6.4256036000000023</v>
      </c>
      <c r="Q9" s="7">
        <f t="shared" si="1"/>
        <v>66.801282585518081</v>
      </c>
    </row>
    <row r="10" spans="1:17" ht="18" customHeight="1" x14ac:dyDescent="0.25">
      <c r="A10" s="15">
        <v>45505</v>
      </c>
      <c r="B10" s="3">
        <v>2581</v>
      </c>
      <c r="C10" s="3">
        <v>3483</v>
      </c>
      <c r="D10" s="3">
        <v>949.55700000000002</v>
      </c>
      <c r="E10" s="3">
        <v>115010</v>
      </c>
      <c r="F10" s="3">
        <v>44.304527999999998</v>
      </c>
      <c r="G10" s="3">
        <v>60.430430999999999</v>
      </c>
      <c r="H10" s="6">
        <f t="shared" si="0"/>
        <v>73.314929691631676</v>
      </c>
      <c r="I10" s="6">
        <v>1.1579999999999999</v>
      </c>
      <c r="J10" s="6"/>
      <c r="K10" s="6">
        <v>1.1579999999999999</v>
      </c>
      <c r="L10" s="6">
        <v>4.0317120479999984</v>
      </c>
      <c r="M10" s="10">
        <v>7.031626063694268E-4</v>
      </c>
      <c r="N10" s="6">
        <v>0</v>
      </c>
      <c r="O10" s="6">
        <v>4.0324152106063682</v>
      </c>
      <c r="P10" s="6">
        <v>6.2191836</v>
      </c>
      <c r="Q10" s="6">
        <f t="shared" si="1"/>
        <v>64.838336829392986</v>
      </c>
    </row>
    <row r="11" spans="1:17" ht="15" customHeight="1" x14ac:dyDescent="0.25">
      <c r="A11" s="14">
        <v>45536</v>
      </c>
      <c r="B11" s="4">
        <v>2302</v>
      </c>
      <c r="C11" s="4">
        <v>3068</v>
      </c>
      <c r="D11" s="4">
        <v>825.60900000000004</v>
      </c>
      <c r="E11" s="4">
        <v>101886</v>
      </c>
      <c r="F11" s="4">
        <v>38.623908</v>
      </c>
      <c r="G11" s="4">
        <v>52.826796999999999</v>
      </c>
      <c r="H11" s="7">
        <f t="shared" si="0"/>
        <v>73.114234050570971</v>
      </c>
      <c r="I11" s="7">
        <v>1.821</v>
      </c>
      <c r="J11" s="7"/>
      <c r="K11" s="7">
        <v>1.821</v>
      </c>
      <c r="L11" s="7">
        <v>3.5147756279999989</v>
      </c>
      <c r="M11" s="11">
        <v>9.3527254865785679E-4</v>
      </c>
      <c r="N11" s="7">
        <v>0</v>
      </c>
      <c r="O11" s="7">
        <v>3.5157109005486569</v>
      </c>
      <c r="P11" s="7">
        <v>5.4115452000000026</v>
      </c>
      <c r="Q11" s="7">
        <f t="shared" si="1"/>
        <v>64.966858274576651</v>
      </c>
    </row>
    <row r="12" spans="1:17" ht="16.5" customHeight="1" x14ac:dyDescent="0.25">
      <c r="A12" s="15">
        <v>45566</v>
      </c>
      <c r="B12" s="3">
        <v>2264</v>
      </c>
      <c r="C12" s="3">
        <v>2989</v>
      </c>
      <c r="D12" s="3">
        <v>819.13400000000001</v>
      </c>
      <c r="E12" s="3">
        <v>98107</v>
      </c>
      <c r="F12" s="3">
        <v>37.809350000000002</v>
      </c>
      <c r="G12" s="3">
        <v>51.188048000000002</v>
      </c>
      <c r="H12" s="6">
        <f t="shared" si="0"/>
        <v>73.863629259705306</v>
      </c>
      <c r="I12" s="6">
        <v>1.274</v>
      </c>
      <c r="J12" s="6"/>
      <c r="K12" s="6">
        <v>1.274</v>
      </c>
      <c r="L12" s="6">
        <v>3.4406509000000001</v>
      </c>
      <c r="M12" s="10">
        <v>8.5751152201257849E-4</v>
      </c>
      <c r="N12" s="6">
        <v>0</v>
      </c>
      <c r="O12" s="6">
        <v>3.4415084115220123</v>
      </c>
      <c r="P12" s="6">
        <v>5.2396472000000012</v>
      </c>
      <c r="Q12" s="6">
        <f t="shared" si="1"/>
        <v>65.682063699288989</v>
      </c>
    </row>
    <row r="13" spans="1:17" ht="17.25" customHeight="1" x14ac:dyDescent="0.25">
      <c r="A13" s="14">
        <v>45597</v>
      </c>
      <c r="B13" s="4">
        <v>2121</v>
      </c>
      <c r="C13" s="4">
        <v>2830</v>
      </c>
      <c r="D13" s="4">
        <v>795.76700000000005</v>
      </c>
      <c r="E13" s="4">
        <v>96860</v>
      </c>
      <c r="F13" s="4">
        <v>38.932533000000006</v>
      </c>
      <c r="G13" s="4">
        <v>52.284783000000004</v>
      </c>
      <c r="H13" s="7">
        <f t="shared" si="0"/>
        <v>74.46245497471034</v>
      </c>
      <c r="I13" s="7">
        <v>0.72499999999999998</v>
      </c>
      <c r="J13" s="7">
        <v>0</v>
      </c>
      <c r="K13" s="7">
        <v>0.72499999999999998</v>
      </c>
      <c r="L13" s="7">
        <v>3.5428604999999997</v>
      </c>
      <c r="M13" s="11">
        <v>6.9999999999999997E-7</v>
      </c>
      <c r="N13" s="7">
        <v>0</v>
      </c>
      <c r="O13" s="7">
        <v>3.5428611999999999</v>
      </c>
      <c r="P13" s="7">
        <v>5.0231745999999999</v>
      </c>
      <c r="Q13" s="7">
        <f t="shared" si="1"/>
        <v>70.530321601801376</v>
      </c>
    </row>
    <row r="14" spans="1:17" ht="14.25" customHeight="1" x14ac:dyDescent="0.25">
      <c r="A14" s="15">
        <v>45627</v>
      </c>
      <c r="B14" s="3">
        <v>2069</v>
      </c>
      <c r="C14" s="3">
        <v>2802</v>
      </c>
      <c r="D14" s="3">
        <v>795.96100000000001</v>
      </c>
      <c r="E14" s="3">
        <v>99952</v>
      </c>
      <c r="F14" s="3">
        <v>40.571822999999995</v>
      </c>
      <c r="G14" s="3">
        <v>52.22636</v>
      </c>
      <c r="H14" s="6">
        <f t="shared" si="0"/>
        <v>77.684569631121136</v>
      </c>
      <c r="I14" s="6">
        <v>0.86199999999999999</v>
      </c>
      <c r="J14" s="6"/>
      <c r="K14" s="6">
        <v>0.86199999999999999</v>
      </c>
      <c r="L14" s="6">
        <v>3.6920359</v>
      </c>
      <c r="M14" s="10">
        <v>8.9999999999999996E-7</v>
      </c>
      <c r="N14" s="6">
        <v>0</v>
      </c>
      <c r="O14" s="6">
        <v>3.6920367999999999</v>
      </c>
      <c r="P14" s="6">
        <v>5.0035020000000001</v>
      </c>
      <c r="Q14" s="6">
        <f t="shared" si="1"/>
        <v>73.789054146475806</v>
      </c>
    </row>
    <row r="15" spans="1:17" ht="15.75" customHeight="1" x14ac:dyDescent="0.25">
      <c r="A15" s="14">
        <v>45658</v>
      </c>
      <c r="B15" s="4">
        <v>1953</v>
      </c>
      <c r="C15" s="4">
        <v>2704</v>
      </c>
      <c r="D15" s="4">
        <v>782.94</v>
      </c>
      <c r="E15" s="4">
        <v>90895</v>
      </c>
      <c r="F15" s="4">
        <v>38.440168</v>
      </c>
      <c r="G15" s="4">
        <v>49.509391000000001</v>
      </c>
      <c r="H15" s="7">
        <f t="shared" si="0"/>
        <v>77.64217499665871</v>
      </c>
      <c r="I15" s="7">
        <v>4.8000000000000001E-2</v>
      </c>
      <c r="J15" s="7"/>
      <c r="K15" s="7">
        <v>4.8000000000000001E-2</v>
      </c>
      <c r="L15" s="7">
        <v>3.4980552999999999</v>
      </c>
      <c r="M15" s="11">
        <v>1.0000000000000001E-7</v>
      </c>
      <c r="N15" s="7">
        <v>0</v>
      </c>
      <c r="O15" s="7">
        <v>3.4980554000000001</v>
      </c>
      <c r="P15" s="7">
        <v>4.7593418000000005</v>
      </c>
      <c r="Q15" s="7">
        <f t="shared" si="1"/>
        <v>73.498722029167979</v>
      </c>
    </row>
    <row r="16" spans="1:17" ht="14.25" customHeight="1" x14ac:dyDescent="0.25">
      <c r="A16" s="15">
        <v>45689</v>
      </c>
      <c r="B16" s="3">
        <v>1710</v>
      </c>
      <c r="C16" s="3">
        <v>2497</v>
      </c>
      <c r="D16" s="3">
        <v>728.02</v>
      </c>
      <c r="E16" s="3">
        <v>85992</v>
      </c>
      <c r="F16" s="3">
        <v>38.733658000000005</v>
      </c>
      <c r="G16" s="3">
        <v>46.649684999999998</v>
      </c>
      <c r="H16" s="6">
        <f t="shared" si="0"/>
        <v>83.030910069382045</v>
      </c>
      <c r="I16" s="6"/>
      <c r="J16" s="6"/>
      <c r="K16" s="6">
        <v>0</v>
      </c>
      <c r="L16" s="6">
        <v>3.5247629000000003</v>
      </c>
      <c r="M16" s="10">
        <v>0</v>
      </c>
      <c r="N16" s="6">
        <v>0</v>
      </c>
      <c r="O16" s="6">
        <v>3.5247629000000003</v>
      </c>
      <c r="P16" s="6">
        <v>4.4744140999999997</v>
      </c>
      <c r="Q16" s="6">
        <f t="shared" si="1"/>
        <v>78.775965326946391</v>
      </c>
    </row>
    <row r="17" spans="1:17" ht="15" customHeight="1" x14ac:dyDescent="0.25">
      <c r="A17" s="14">
        <v>45717</v>
      </c>
      <c r="B17" s="4">
        <v>1697</v>
      </c>
      <c r="C17" s="4">
        <v>2346</v>
      </c>
      <c r="D17" s="4">
        <v>663.59699999999998</v>
      </c>
      <c r="E17" s="4">
        <v>77945</v>
      </c>
      <c r="F17" s="4">
        <v>32.129950000000001</v>
      </c>
      <c r="G17" s="4">
        <v>42.326895999999998</v>
      </c>
      <c r="H17" s="7">
        <f t="shared" si="0"/>
        <v>75.909062644234538</v>
      </c>
      <c r="I17" s="7">
        <v>6.9000000000000006E-2</v>
      </c>
      <c r="J17" s="7"/>
      <c r="K17" s="7">
        <v>6.9000000000000006E-2</v>
      </c>
      <c r="L17" s="7">
        <v>2.9238255</v>
      </c>
      <c r="M17" s="11">
        <v>1.0000000000000001E-7</v>
      </c>
      <c r="N17" s="7">
        <v>0</v>
      </c>
      <c r="O17" s="7">
        <v>2.9238256000000002</v>
      </c>
      <c r="P17" s="7">
        <v>4.0698084999999997</v>
      </c>
      <c r="Q17" s="7">
        <f t="shared" si="1"/>
        <v>71.841847104108226</v>
      </c>
    </row>
    <row r="18" spans="1:17" ht="15.75" customHeight="1" x14ac:dyDescent="0.25">
      <c r="A18" s="2" t="s">
        <v>23</v>
      </c>
      <c r="B18" s="5">
        <f>SUM(B6:B17)</f>
        <v>27751</v>
      </c>
      <c r="C18" s="5">
        <f t="shared" ref="C18:G18" si="2">SUM(C6:C17)</f>
        <v>37803</v>
      </c>
      <c r="D18" s="5">
        <f t="shared" si="2"/>
        <v>10461.211000000001</v>
      </c>
      <c r="E18" s="5">
        <f t="shared" si="2"/>
        <v>1284387</v>
      </c>
      <c r="F18" s="5">
        <f t="shared" si="2"/>
        <v>512.94493499999999</v>
      </c>
      <c r="G18" s="5">
        <f t="shared" si="2"/>
        <v>667.51790800000003</v>
      </c>
      <c r="H18" s="24">
        <f>F18/G18*100</f>
        <v>76.843621549700799</v>
      </c>
      <c r="I18" s="8">
        <f t="shared" ref="I18" si="3">SUM(I6:I17)</f>
        <v>25.584</v>
      </c>
      <c r="J18" s="8">
        <f t="shared" ref="J18" si="4">SUM(J6:J17)</f>
        <v>0.35399999999999998</v>
      </c>
      <c r="K18" s="8">
        <f t="shared" ref="K18" si="5">SUM(K6:K17)</f>
        <v>25.937999999999999</v>
      </c>
      <c r="L18" s="8">
        <f t="shared" ref="L18" si="6">SUM(L6:L17)</f>
        <v>46.681241284006553</v>
      </c>
      <c r="M18" s="12">
        <f t="shared" ref="M18" si="7">SUM(M6:M17)</f>
        <v>1.1999282667170007E-2</v>
      </c>
      <c r="N18" s="8">
        <f t="shared" ref="N18" si="8">SUM(N6:N17)</f>
        <v>1.4407800000000001E-4</v>
      </c>
      <c r="O18" s="8">
        <f t="shared" ref="O18" si="9">SUM(O6:O17)</f>
        <v>46.693384644673714</v>
      </c>
      <c r="P18" s="8">
        <f t="shared" ref="P18" si="10">SUM(P6:P17)</f>
        <v>67.014881799999998</v>
      </c>
      <c r="Q18" s="8">
        <f t="shared" si="1"/>
        <v>69.676142657426453</v>
      </c>
    </row>
    <row r="19" spans="1:17" ht="15.75" customHeight="1" x14ac:dyDescent="0.25">
      <c r="A19" s="16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2022-04-25T11:50:51Z</cp:lastPrinted>
  <dcterms:created xsi:type="dcterms:W3CDTF">2018-10-29T04:00:07Z</dcterms:created>
  <dcterms:modified xsi:type="dcterms:W3CDTF">2025-11-10T09:02:46Z</dcterms:modified>
</cp:coreProperties>
</file>