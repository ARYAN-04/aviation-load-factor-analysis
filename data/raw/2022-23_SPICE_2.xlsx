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FFICE\Yearly publication\2022-23\Annual tables 22_23\SPICEJET\"/>
    </mc:Choice>
  </mc:AlternateContent>
  <bookViews>
    <workbookView showHorizontalScroll="0" showVerticalScroll="0" xWindow="0" yWindow="0" windowWidth="12015" windowHeight="9495"/>
  </bookViews>
  <sheets>
    <sheet name="SPICEJET" sheetId="6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6" i="6" l="1"/>
  <c r="Q15" i="6"/>
  <c r="Q14" i="6"/>
  <c r="Q13" i="6"/>
  <c r="Q12" i="6"/>
  <c r="Q11" i="6"/>
  <c r="Q10" i="6"/>
  <c r="Q9" i="6"/>
  <c r="Q8" i="6"/>
  <c r="Q7" i="6"/>
  <c r="Q6" i="6"/>
  <c r="H16" i="6"/>
  <c r="H15" i="6"/>
  <c r="H14" i="6"/>
  <c r="H13" i="6"/>
  <c r="H12" i="6"/>
  <c r="H11" i="6"/>
  <c r="H10" i="6"/>
  <c r="H9" i="6"/>
  <c r="H8" i="6"/>
  <c r="H7" i="6"/>
  <c r="H6" i="6"/>
  <c r="P18" i="6" l="1"/>
  <c r="Q17" i="6" l="1"/>
  <c r="H17" i="6"/>
  <c r="M18" i="6" l="1"/>
  <c r="J18" i="6"/>
  <c r="I18" i="6"/>
  <c r="B18" i="6"/>
  <c r="L18" i="6"/>
  <c r="F18" i="6"/>
  <c r="C18" i="6"/>
  <c r="N18" i="6"/>
  <c r="G18" i="6"/>
  <c r="E18" i="6"/>
  <c r="D18" i="6"/>
  <c r="O18" i="6" l="1"/>
  <c r="Q18" i="6" s="1"/>
  <c r="K18" i="6"/>
  <c r="H18" i="6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<sst xmlns="http://schemas.openxmlformats.org/spreadsheetml/2006/main" count="26" uniqueCount="24">
  <si>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</si>
  <si>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</si>
  <si>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</si>
  <si>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</si>
  <si>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</si>
  <si>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</si>
  <si>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</si>
  <si>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</si>
  <si>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</si>
  <si>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</si>
  <si>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</si>
  <si>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</si>
  <si>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</si>
  <si>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</si>
  <si>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</si>
  <si>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</si>
  <si>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</si>
  <si>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</si>
  <si>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</si>
  <si>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 xml:space="preserve">तालिका - 1.02 (स्पाइसजेट) </t>
  </si>
  <si>
    <t>Table 1.02 (SPICEJET)</t>
  </si>
  <si>
    <t>SOURCE:-  ICAO ATR FORM 'A' FURNISHED BY SPICEJET</t>
  </si>
  <si>
    <t>2022-23</t>
  </si>
  <si>
    <t>MONTHLY TRAFFIC AND OPERATING STATISTICS OF SPICEJET ON  SCHEDULED INTERNATIONAL SERVICES DURING 2022-23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</si>
</sst>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0.0"/>
    <numFmt numFmtId="168" formatCode="[$-1010409]mmmm/yy;@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4" fillId="3" borderId="0" applyNumberFormat="0" applyBorder="0" applyAlignment="0" applyProtection="0"/>
    <xf numFmtId="0" fontId="3" fillId="4" borderId="0" applyNumberFormat="0" applyBorder="0" applyAlignment="0" applyProtection="0"/>
  </cellStyleXfs>
  <cellXfs count="29">
    <xf numFmtId="0" fontId="0" fillId="0" borderId="0" xfId="0"/>
    <xf numFmtId="165" fontId="5" fillId="0" borderId="1" xfId="1" applyNumberFormat="1" applyFont="1" applyFill="1" applyBorder="1" applyAlignment="1">
      <alignment horizontal="right" vertical="center"/>
    </xf>
    <xf numFmtId="166" fontId="5" fillId="0" borderId="1" xfId="1" applyNumberFormat="1" applyFont="1" applyFill="1" applyBorder="1" applyAlignment="1">
      <alignment horizontal="right" vertical="center"/>
    </xf>
    <xf numFmtId="165" fontId="3" fillId="4" borderId="1" xfId="3" applyNumberFormat="1" applyBorder="1" applyAlignment="1">
      <alignment horizontal="right" vertical="center"/>
    </xf>
    <xf numFmtId="166" fontId="3" fillId="4" borderId="1" xfId="3" applyNumberFormat="1" applyBorder="1" applyAlignment="1">
      <alignment horizontal="right" vertical="center"/>
    </xf>
    <xf numFmtId="0" fontId="6" fillId="4" borderId="1" xfId="3" applyFont="1" applyBorder="1" applyAlignment="1" applyProtection="1">
      <alignment horizontal="center" vertical="center" wrapText="1"/>
    </xf>
    <xf numFmtId="165" fontId="6" fillId="4" borderId="1" xfId="3" applyNumberFormat="1" applyFont="1" applyBorder="1" applyAlignment="1" applyProtection="1">
      <alignment horizontal="right" vertical="center" wrapText="1"/>
    </xf>
    <xf numFmtId="166" fontId="6" fillId="4" borderId="1" xfId="3" applyNumberFormat="1" applyFont="1" applyBorder="1" applyAlignment="1" applyProtection="1">
      <alignment horizontal="right" vertical="center" wrapText="1"/>
    </xf>
    <xf numFmtId="167" fontId="0" fillId="5" borderId="1" xfId="0" applyNumberFormat="1" applyFont="1" applyFill="1" applyBorder="1"/>
    <xf numFmtId="166" fontId="5" fillId="5" borderId="1" xfId="1" applyNumberFormat="1" applyFont="1" applyFill="1" applyBorder="1" applyAlignment="1">
      <alignment horizontal="right" vertical="center"/>
    </xf>
    <xf numFmtId="166" fontId="6" fillId="4" borderId="1" xfId="3" applyNumberFormat="1" applyFont="1" applyBorder="1" applyAlignment="1" applyProtection="1">
      <alignment horizontal="center" vertical="center" wrapText="1"/>
    </xf>
    <xf numFmtId="166" fontId="6" fillId="4" borderId="1" xfId="3" applyNumberFormat="1" applyFont="1" applyBorder="1" applyAlignment="1" applyProtection="1">
      <alignment vertical="center" wrapText="1"/>
    </xf>
    <xf numFmtId="166" fontId="3" fillId="6" borderId="1" xfId="3" applyNumberFormat="1" applyFill="1" applyBorder="1" applyAlignment="1">
      <alignment horizontal="right" vertical="center"/>
    </xf>
    <xf numFmtId="0" fontId="2" fillId="3" borderId="1" xfId="2" applyFont="1" applyBorder="1" applyAlignment="1" applyProtection="1">
      <alignment horizontal="center" vertical="center" textRotation="90" wrapText="1"/>
    </xf>
    <xf numFmtId="168" fontId="3" fillId="4" borderId="1" xfId="3" applyNumberFormat="1" applyBorder="1" applyAlignment="1">
      <alignment horizontal="center" vertical="center"/>
    </xf>
    <xf numFmtId="168" fontId="5" fillId="0" borderId="1" xfId="1" applyNumberFormat="1" applyFont="1" applyFill="1" applyBorder="1" applyAlignment="1">
      <alignment horizontal="center" vertical="center"/>
    </xf>
    <xf numFmtId="168" fontId="0" fillId="5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68" fontId="0" fillId="0" borderId="1" xfId="0" applyNumberFormat="1" applyFont="1" applyBorder="1" applyAlignment="1">
      <alignment horizontal="center"/>
    </xf>
    <xf numFmtId="167" fontId="0" fillId="0" borderId="1" xfId="0" applyNumberFormat="1" applyFont="1" applyBorder="1"/>
    <xf numFmtId="0" fontId="1" fillId="2" borderId="1" xfId="0" applyFont="1" applyFill="1" applyBorder="1" applyAlignment="1" applyProtection="1">
      <alignment horizontal="left" vertical="center" wrapText="1"/>
    </xf>
    <xf numFmtId="0" fontId="2" fillId="4" borderId="1" xfId="3" applyFont="1" applyBorder="1" applyAlignment="1">
      <alignment horizontal="center" vertical="center" wrapText="1"/>
    </xf>
    <xf numFmtId="0" fontId="2" fillId="4" borderId="1" xfId="3" quotePrefix="1" applyFont="1" applyBorder="1" applyAlignment="1" applyProtection="1">
      <alignment horizontal="center" vertical="center" wrapText="1"/>
    </xf>
    <xf numFmtId="0" fontId="2" fillId="4" borderId="1" xfId="3" applyFont="1" applyBorder="1"/>
    <xf numFmtId="0" fontId="2" fillId="3" borderId="1" xfId="2" applyFont="1" applyBorder="1" applyAlignment="1" applyProtection="1">
      <alignment horizontal="center" vertical="center" wrapText="1"/>
    </xf>
    <xf numFmtId="0" fontId="2" fillId="3" borderId="1" xfId="2" applyFont="1" applyBorder="1"/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>
      <alignment textRotation="90"/>
    </xf>
    <xf numFmtId="0" fontId="6" fillId="0" borderId="0" xfId="0" applyFont="1" applyBorder="1" applyAlignment="1">
      <alignment horizontal="left" wrapText="1"/>
    </xf>
  </cellXfs>
  <cellStyles count="4">
    <cellStyle name="40% - Accent6" xfId="3" builtinId="51"/>
    <cellStyle name="Accent6" xfId="2" builtinId="4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0"/>
  <sheetViews>
    <sheetView tabSelected="1" zoomScaleNormal="100" zoomScaleSheetLayoutView="130" workbookViewId="0">
      <selection activeCell="A3" sqref="A3:Q3"/>
    </sheetView>
  </sheetViews>
  <sheetFormatPr defaultRowHeight="15" x14ac:dyDescent="0.25"/>
  <cols>
    <col min="1" max="1" width="17.42578125" style="17" customWidth="1"/>
    <col min="2" max="2" width="7.7109375" customWidth="1"/>
    <col min="3" max="3" width="9.28515625" customWidth="1"/>
    <col min="4" max="4" width="8.85546875" customWidth="1"/>
    <col min="5" max="5" width="11.5703125" customWidth="1"/>
    <col min="6" max="6" width="10.85546875" customWidth="1"/>
    <col min="7" max="7" width="10.7109375" customWidth="1"/>
    <col min="8" max="8" width="7.140625" customWidth="1"/>
    <col min="9" max="9" width="9.140625" customWidth="1"/>
    <col min="10" max="10" width="10" customWidth="1"/>
    <col min="11" max="11" width="10.7109375" customWidth="1"/>
    <col min="12" max="12" width="10.28515625" customWidth="1"/>
    <col min="13" max="13" width="11.42578125" customWidth="1"/>
    <col min="14" max="14" width="5.85546875" customWidth="1"/>
    <col min="15" max="15" width="9.7109375" customWidth="1"/>
    <col min="16" max="16" width="10.85546875" customWidth="1"/>
    <col min="17" max="17" width="7.28515625" customWidth="1"/>
  </cols>
  <sheetData>
    <row r="1" spans="1:17" ht="15" customHeight="1" x14ac:dyDescent="0.25">
      <c r="A1" s="21" t="s">
        <v>19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1:17" ht="15" customHeight="1" x14ac:dyDescent="0.25">
      <c r="A2" s="22" t="s">
        <v>20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</row>
    <row r="3" spans="1:17" ht="15" customHeight="1" x14ac:dyDescent="0.25">
      <c r="A3" s="24" t="s">
        <v>23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</row>
    <row r="4" spans="1:17" ht="31.9" customHeight="1" x14ac:dyDescent="0.25">
      <c r="A4" s="24" t="s">
        <v>0</v>
      </c>
      <c r="B4" s="24" t="s">
        <v>1</v>
      </c>
      <c r="C4" s="24"/>
      <c r="D4" s="24"/>
      <c r="E4" s="24" t="s">
        <v>2</v>
      </c>
      <c r="F4" s="25"/>
      <c r="G4" s="26" t="s">
        <v>3</v>
      </c>
      <c r="H4" s="26" t="s">
        <v>4</v>
      </c>
      <c r="I4" s="24" t="s">
        <v>5</v>
      </c>
      <c r="J4" s="24"/>
      <c r="K4" s="24"/>
      <c r="L4" s="24" t="s">
        <v>6</v>
      </c>
      <c r="M4" s="24"/>
      <c r="N4" s="24"/>
      <c r="O4" s="24"/>
      <c r="P4" s="26" t="s">
        <v>7</v>
      </c>
      <c r="Q4" s="26" t="s">
        <v>8</v>
      </c>
    </row>
    <row r="5" spans="1:17" ht="114.75" customHeight="1" x14ac:dyDescent="0.25">
      <c r="A5" s="24"/>
      <c r="B5" s="13" t="s">
        <v>9</v>
      </c>
      <c r="C5" s="13" t="s">
        <v>10</v>
      </c>
      <c r="D5" s="13" t="s">
        <v>11</v>
      </c>
      <c r="E5" s="13" t="s">
        <v>12</v>
      </c>
      <c r="F5" s="13" t="s">
        <v>13</v>
      </c>
      <c r="G5" s="27"/>
      <c r="H5" s="27"/>
      <c r="I5" s="13" t="s">
        <v>14</v>
      </c>
      <c r="J5" s="13" t="s">
        <v>15</v>
      </c>
      <c r="K5" s="13" t="s">
        <v>16</v>
      </c>
      <c r="L5" s="13" t="s">
        <v>17</v>
      </c>
      <c r="M5" s="13" t="s">
        <v>18</v>
      </c>
      <c r="N5" s="13" t="s">
        <v>15</v>
      </c>
      <c r="O5" s="13" t="s">
        <v>16</v>
      </c>
      <c r="P5" s="27"/>
      <c r="Q5" s="27"/>
    </row>
    <row r="6" spans="1:17" x14ac:dyDescent="0.25">
      <c r="A6" s="14">
        <v>44652</v>
      </c>
      <c r="B6" s="3">
        <v>752</v>
      </c>
      <c r="C6" s="3">
        <v>2026.1333333333334</v>
      </c>
      <c r="D6" s="3">
        <v>1463.4459999999999</v>
      </c>
      <c r="E6" s="3">
        <v>114983</v>
      </c>
      <c r="F6" s="3">
        <v>232.22932600000001</v>
      </c>
      <c r="G6" s="3">
        <v>275.53254599999997</v>
      </c>
      <c r="H6" s="4">
        <f t="shared" ref="H6:H16" si="0">F6/G6*100</f>
        <v>84.283809434258288</v>
      </c>
      <c r="I6" s="4">
        <v>526.46932000000004</v>
      </c>
      <c r="J6" s="4"/>
      <c r="K6" s="4">
        <v>526.46932000000004</v>
      </c>
      <c r="L6" s="4">
        <v>17.417199450000005</v>
      </c>
      <c r="M6" s="4">
        <v>1.0668191515699998</v>
      </c>
      <c r="N6" s="4">
        <v>0</v>
      </c>
      <c r="O6" s="4">
        <v>18.484018601570003</v>
      </c>
      <c r="P6" s="4">
        <v>27.179860000000001</v>
      </c>
      <c r="Q6" s="9">
        <f t="shared" ref="Q6:Q16" si="1">O6/P6*100</f>
        <v>68.006305409851279</v>
      </c>
    </row>
    <row r="7" spans="1:17" x14ac:dyDescent="0.25">
      <c r="A7" s="15">
        <v>44682</v>
      </c>
      <c r="B7" s="1">
        <v>1076</v>
      </c>
      <c r="C7" s="1">
        <v>3047.6333333333332</v>
      </c>
      <c r="D7" s="1">
        <v>2211.7330000000002</v>
      </c>
      <c r="E7" s="1">
        <v>151132</v>
      </c>
      <c r="F7" s="1">
        <v>328.61792099999997</v>
      </c>
      <c r="G7" s="1">
        <v>414.71221500000001</v>
      </c>
      <c r="H7" s="2">
        <f t="shared" si="0"/>
        <v>79.239990796991592</v>
      </c>
      <c r="I7" s="2">
        <v>531.91208000000006</v>
      </c>
      <c r="J7" s="2"/>
      <c r="K7" s="2">
        <v>531.91208000000006</v>
      </c>
      <c r="L7" s="2">
        <v>24.646344074999998</v>
      </c>
      <c r="M7" s="2">
        <v>1.1874496307099995</v>
      </c>
      <c r="N7" s="2">
        <v>0</v>
      </c>
      <c r="O7" s="12">
        <v>25.833793705709994</v>
      </c>
      <c r="P7" s="2">
        <v>40.034188999999998</v>
      </c>
      <c r="Q7" s="2">
        <f t="shared" si="1"/>
        <v>64.529329433175221</v>
      </c>
    </row>
    <row r="8" spans="1:17" x14ac:dyDescent="0.25">
      <c r="A8" s="14">
        <v>44713</v>
      </c>
      <c r="B8" s="3">
        <v>1014</v>
      </c>
      <c r="C8" s="3">
        <v>2808.5666666666666</v>
      </c>
      <c r="D8" s="3">
        <v>2046.568</v>
      </c>
      <c r="E8" s="3">
        <v>151902</v>
      </c>
      <c r="F8" s="3">
        <v>323.62674200000004</v>
      </c>
      <c r="G8" s="3">
        <v>383.86480999999998</v>
      </c>
      <c r="H8" s="4">
        <f t="shared" si="0"/>
        <v>84.307478458366646</v>
      </c>
      <c r="I8" s="4">
        <v>590.44623000000013</v>
      </c>
      <c r="J8" s="4"/>
      <c r="K8" s="4">
        <v>590.44623000000013</v>
      </c>
      <c r="L8" s="4">
        <v>24.272005650000008</v>
      </c>
      <c r="M8" s="4">
        <v>1.1879376740900007</v>
      </c>
      <c r="N8" s="4">
        <v>0</v>
      </c>
      <c r="O8" s="4">
        <v>25.459943324090005</v>
      </c>
      <c r="P8" s="4">
        <v>37.818576</v>
      </c>
      <c r="Q8" s="4">
        <f t="shared" si="1"/>
        <v>67.321263825718887</v>
      </c>
    </row>
    <row r="9" spans="1:17" x14ac:dyDescent="0.25">
      <c r="A9" s="15">
        <v>44743</v>
      </c>
      <c r="B9" s="1">
        <v>1073</v>
      </c>
      <c r="C9" s="1">
        <v>3132.3</v>
      </c>
      <c r="D9" s="1">
        <v>2286.6729999999998</v>
      </c>
      <c r="E9" s="1">
        <v>158666</v>
      </c>
      <c r="F9" s="1">
        <v>361.695448</v>
      </c>
      <c r="G9" s="1">
        <v>428.13689099999999</v>
      </c>
      <c r="H9" s="2">
        <f t="shared" si="0"/>
        <v>84.481261858838508</v>
      </c>
      <c r="I9" s="2">
        <v>713.49022000000014</v>
      </c>
      <c r="J9" s="2"/>
      <c r="K9" s="2">
        <v>713.49022000000014</v>
      </c>
      <c r="L9" s="2">
        <v>27.127158600000001</v>
      </c>
      <c r="M9" s="2">
        <v>1.61770316255</v>
      </c>
      <c r="N9" s="2">
        <v>0</v>
      </c>
      <c r="O9" s="12">
        <v>28.744861762550002</v>
      </c>
      <c r="P9" s="2">
        <v>41.999754000000003</v>
      </c>
      <c r="Q9" s="2">
        <f t="shared" si="1"/>
        <v>68.440547919756867</v>
      </c>
    </row>
    <row r="10" spans="1:17" x14ac:dyDescent="0.25">
      <c r="A10" s="14">
        <v>44774</v>
      </c>
      <c r="B10" s="3">
        <v>1067</v>
      </c>
      <c r="C10" s="3">
        <v>3217.0166666666669</v>
      </c>
      <c r="D10" s="3">
        <v>2362.0880000000002</v>
      </c>
      <c r="E10" s="3">
        <v>155879</v>
      </c>
      <c r="F10" s="3">
        <v>372.03704100000004</v>
      </c>
      <c r="G10" s="3">
        <v>442.14919199999997</v>
      </c>
      <c r="H10" s="4">
        <f t="shared" si="0"/>
        <v>84.142874787838593</v>
      </c>
      <c r="I10" s="4">
        <v>640.04128000000003</v>
      </c>
      <c r="J10" s="4"/>
      <c r="K10" s="4">
        <v>640.04128000000003</v>
      </c>
      <c r="L10" s="4">
        <v>27.902778075000001</v>
      </c>
      <c r="M10" s="4">
        <v>1.51855375953</v>
      </c>
      <c r="N10" s="4">
        <v>0</v>
      </c>
      <c r="O10" s="4">
        <v>29.421331834530005</v>
      </c>
      <c r="P10" s="4">
        <v>42.818196999999998</v>
      </c>
      <c r="Q10" s="4">
        <f t="shared" si="1"/>
        <v>68.712215590324845</v>
      </c>
    </row>
    <row r="11" spans="1:17" x14ac:dyDescent="0.25">
      <c r="A11" s="15">
        <v>44805</v>
      </c>
      <c r="B11" s="1">
        <v>1068</v>
      </c>
      <c r="C11" s="1">
        <v>3297</v>
      </c>
      <c r="D11" s="1">
        <v>2431.5419999999999</v>
      </c>
      <c r="E11" s="1">
        <v>156798</v>
      </c>
      <c r="F11" s="1">
        <v>385.09473500000001</v>
      </c>
      <c r="G11" s="1">
        <v>455.14507500000002</v>
      </c>
      <c r="H11" s="2">
        <f t="shared" si="0"/>
        <v>84.609228167524392</v>
      </c>
      <c r="I11" s="2">
        <v>712.61720000000003</v>
      </c>
      <c r="J11" s="2"/>
      <c r="K11" s="2">
        <v>712.61720000000003</v>
      </c>
      <c r="L11" s="2">
        <v>28.882105124999995</v>
      </c>
      <c r="M11" s="2">
        <v>1.7059736683799995</v>
      </c>
      <c r="N11" s="2">
        <v>0</v>
      </c>
      <c r="O11" s="12">
        <v>30.588078793379996</v>
      </c>
      <c r="P11" s="2">
        <v>44.329718</v>
      </c>
      <c r="Q11" s="2">
        <f t="shared" si="1"/>
        <v>69.001293428891202</v>
      </c>
    </row>
    <row r="12" spans="1:17" x14ac:dyDescent="0.25">
      <c r="A12" s="14">
        <v>44835</v>
      </c>
      <c r="B12" s="3">
        <v>1013</v>
      </c>
      <c r="C12" s="3">
        <v>3283.45</v>
      </c>
      <c r="D12" s="3">
        <v>2434.0030000000002</v>
      </c>
      <c r="E12" s="3">
        <v>157792</v>
      </c>
      <c r="F12" s="3">
        <v>392.63108299999999</v>
      </c>
      <c r="G12" s="3">
        <v>457.744326</v>
      </c>
      <c r="H12" s="4">
        <f t="shared" si="0"/>
        <v>85.77519385789175</v>
      </c>
      <c r="I12" s="4">
        <v>598.09033999999997</v>
      </c>
      <c r="J12" s="4"/>
      <c r="K12" s="4">
        <v>598.09033999999997</v>
      </c>
      <c r="L12" s="4">
        <v>29.447331225000003</v>
      </c>
      <c r="M12" s="4">
        <v>1.4472977877700004</v>
      </c>
      <c r="N12" s="4">
        <v>0</v>
      </c>
      <c r="O12" s="4">
        <v>30.89462901277</v>
      </c>
      <c r="P12" s="4">
        <v>44.345142999999993</v>
      </c>
      <c r="Q12" s="4">
        <f t="shared" si="1"/>
        <v>69.668574555662175</v>
      </c>
    </row>
    <row r="13" spans="1:17" x14ac:dyDescent="0.25">
      <c r="A13" s="15">
        <v>44866</v>
      </c>
      <c r="B13" s="1">
        <v>1025</v>
      </c>
      <c r="C13" s="1">
        <v>3486.2333333333331</v>
      </c>
      <c r="D13" s="1">
        <v>2572.3040000000001</v>
      </c>
      <c r="E13" s="1">
        <v>163858</v>
      </c>
      <c r="F13" s="1">
        <v>409.464831</v>
      </c>
      <c r="G13" s="1">
        <v>485.89861200000001</v>
      </c>
      <c r="H13" s="2">
        <f t="shared" si="0"/>
        <v>84.269602935190107</v>
      </c>
      <c r="I13" s="2">
        <v>607.9655600000001</v>
      </c>
      <c r="J13" s="2"/>
      <c r="K13" s="2">
        <v>607.9655600000001</v>
      </c>
      <c r="L13" s="2">
        <v>30.709862325000003</v>
      </c>
      <c r="M13" s="2">
        <v>1.4702498596399998</v>
      </c>
      <c r="N13" s="2">
        <v>0</v>
      </c>
      <c r="O13" s="12">
        <v>32.180112184640002</v>
      </c>
      <c r="P13" s="2">
        <v>48.229751999999998</v>
      </c>
      <c r="Q13" s="2">
        <f t="shared" si="1"/>
        <v>66.722532980555243</v>
      </c>
    </row>
    <row r="14" spans="1:17" x14ac:dyDescent="0.25">
      <c r="A14" s="14">
        <v>44896</v>
      </c>
      <c r="B14" s="3">
        <v>1117</v>
      </c>
      <c r="C14" s="3">
        <v>3822.9166666666665</v>
      </c>
      <c r="D14" s="3">
        <v>2787.8020000000001</v>
      </c>
      <c r="E14" s="3">
        <v>185868</v>
      </c>
      <c r="F14" s="3">
        <v>465.17796199999998</v>
      </c>
      <c r="G14" s="3">
        <v>526.45461</v>
      </c>
      <c r="H14" s="4">
        <f t="shared" si="0"/>
        <v>88.360506901060276</v>
      </c>
      <c r="I14" s="4">
        <v>651.09403000000009</v>
      </c>
      <c r="J14" s="4"/>
      <c r="K14" s="4">
        <v>651.09403000000009</v>
      </c>
      <c r="L14" s="4">
        <v>34.888347150000001</v>
      </c>
      <c r="M14" s="4">
        <v>1.58253038618</v>
      </c>
      <c r="N14" s="4">
        <v>0</v>
      </c>
      <c r="O14" s="4">
        <v>36.470877536179998</v>
      </c>
      <c r="P14" s="4">
        <v>52.054404000000005</v>
      </c>
      <c r="Q14" s="4">
        <f t="shared" si="1"/>
        <v>70.063000886879806</v>
      </c>
    </row>
    <row r="15" spans="1:17" x14ac:dyDescent="0.25">
      <c r="A15" s="18">
        <v>44927</v>
      </c>
      <c r="B15" s="19">
        <v>1091</v>
      </c>
      <c r="C15" s="1">
        <v>3849.1333333333332</v>
      </c>
      <c r="D15" s="1">
        <v>2776.248</v>
      </c>
      <c r="E15" s="1">
        <v>176466</v>
      </c>
      <c r="F15" s="1">
        <v>448.22832499999998</v>
      </c>
      <c r="G15" s="1">
        <v>524.26921200000004</v>
      </c>
      <c r="H15" s="2">
        <f t="shared" si="0"/>
        <v>85.495832053551908</v>
      </c>
      <c r="I15" s="2">
        <v>601.54447999999991</v>
      </c>
      <c r="J15" s="2"/>
      <c r="K15" s="2">
        <v>601.54447999999991</v>
      </c>
      <c r="L15" s="2">
        <v>33.617124374999996</v>
      </c>
      <c r="M15" s="2">
        <v>1.4594568269699999</v>
      </c>
      <c r="N15" s="2">
        <v>0</v>
      </c>
      <c r="O15" s="12">
        <v>35.076581201970001</v>
      </c>
      <c r="P15" s="2">
        <v>52.08464</v>
      </c>
      <c r="Q15" s="2">
        <f t="shared" si="1"/>
        <v>67.345346347733226</v>
      </c>
    </row>
    <row r="16" spans="1:17" x14ac:dyDescent="0.25">
      <c r="A16" s="16">
        <v>44958</v>
      </c>
      <c r="B16" s="8">
        <v>964</v>
      </c>
      <c r="C16" s="3">
        <v>3415.8166666666666</v>
      </c>
      <c r="D16" s="3">
        <v>2480.5619999999999</v>
      </c>
      <c r="E16" s="3">
        <v>161043</v>
      </c>
      <c r="F16" s="3">
        <v>413.23077899999998</v>
      </c>
      <c r="G16" s="3">
        <v>468.58219799999995</v>
      </c>
      <c r="H16" s="4">
        <f t="shared" si="0"/>
        <v>88.187468658380411</v>
      </c>
      <c r="I16" s="4">
        <v>541.05319000000009</v>
      </c>
      <c r="J16" s="4"/>
      <c r="K16" s="4">
        <v>541.05319000000009</v>
      </c>
      <c r="L16" s="4">
        <v>30.992308425000001</v>
      </c>
      <c r="M16" s="4">
        <v>1.3327404575499999</v>
      </c>
      <c r="N16" s="4">
        <v>0</v>
      </c>
      <c r="O16" s="4">
        <v>32.32504888255</v>
      </c>
      <c r="P16" s="4">
        <v>47.373232000000002</v>
      </c>
      <c r="Q16" s="4">
        <f t="shared" si="1"/>
        <v>68.234839629582382</v>
      </c>
    </row>
    <row r="17" spans="1:17" x14ac:dyDescent="0.25">
      <c r="A17" s="18">
        <v>44986</v>
      </c>
      <c r="B17" s="19">
        <v>1094</v>
      </c>
      <c r="C17" s="1">
        <v>3910.3833333333332</v>
      </c>
      <c r="D17" s="1">
        <v>2849.7460000000001</v>
      </c>
      <c r="E17" s="1">
        <v>176787</v>
      </c>
      <c r="F17" s="1">
        <v>454.55069700000001</v>
      </c>
      <c r="G17" s="1">
        <v>538.15595799999994</v>
      </c>
      <c r="H17" s="2">
        <f t="shared" ref="H17" si="2">F17/G17*100</f>
        <v>84.464492168643815</v>
      </c>
      <c r="I17" s="2">
        <v>569.76522000000011</v>
      </c>
      <c r="J17" s="2"/>
      <c r="K17" s="2">
        <v>569.76522000000011</v>
      </c>
      <c r="L17" s="2">
        <v>34.091302274999997</v>
      </c>
      <c r="M17" s="2">
        <v>1.4191569981100001</v>
      </c>
      <c r="N17" s="2">
        <v>0</v>
      </c>
      <c r="O17" s="12">
        <v>35.510459273110001</v>
      </c>
      <c r="P17" s="2">
        <v>53.772303999999998</v>
      </c>
      <c r="Q17" s="2">
        <f t="shared" ref="Q17:Q18" si="3">O17/P17*100</f>
        <v>66.038567499562603</v>
      </c>
    </row>
    <row r="18" spans="1:17" x14ac:dyDescent="0.25">
      <c r="A18" s="5" t="s">
        <v>22</v>
      </c>
      <c r="B18" s="6">
        <f>SUM(B6:B17)</f>
        <v>12354</v>
      </c>
      <c r="C18" s="6">
        <f t="shared" ref="C18:P18" si="4">SUM(C6:C17)</f>
        <v>39296.583333333336</v>
      </c>
      <c r="D18" s="6">
        <f t="shared" si="4"/>
        <v>28702.714999999997</v>
      </c>
      <c r="E18" s="6">
        <f t="shared" si="4"/>
        <v>1911174</v>
      </c>
      <c r="F18" s="6">
        <f t="shared" si="4"/>
        <v>4586.5848899999992</v>
      </c>
      <c r="G18" s="6">
        <f t="shared" si="4"/>
        <v>5400.6456450000005</v>
      </c>
      <c r="H18" s="7">
        <f>F18/G18*100</f>
        <v>84.926603067289349</v>
      </c>
      <c r="I18" s="7">
        <f t="shared" si="4"/>
        <v>7284.4891500000003</v>
      </c>
      <c r="J18" s="11">
        <f t="shared" si="4"/>
        <v>0</v>
      </c>
      <c r="K18" s="4">
        <f t="shared" ref="K18" si="5">I18+J18</f>
        <v>7284.4891500000003</v>
      </c>
      <c r="L18" s="7">
        <f t="shared" si="4"/>
        <v>343.99386675</v>
      </c>
      <c r="M18" s="7">
        <f t="shared" si="4"/>
        <v>16.995869363050002</v>
      </c>
      <c r="N18" s="10">
        <f t="shared" si="4"/>
        <v>0</v>
      </c>
      <c r="O18" s="7">
        <f>L18+M18</f>
        <v>360.98973611305001</v>
      </c>
      <c r="P18" s="7">
        <f t="shared" si="4"/>
        <v>532.03976899999998</v>
      </c>
      <c r="Q18" s="7">
        <f t="shared" si="3"/>
        <v>67.850141501931603</v>
      </c>
    </row>
    <row r="19" spans="1:17" ht="15" customHeight="1" x14ac:dyDescent="0.25">
      <c r="A19" s="20" t="s">
        <v>21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</row>
    <row r="20" spans="1:17" ht="12.75" customHeight="1" x14ac:dyDescent="0.25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</row>
  </sheetData>
  <mergeCells count="13"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  <mergeCell ref="P4:P5"/>
    <mergeCell ref="Q4:Q5"/>
  </mergeCells>
  <pageMargins left="0.7" right="0.7" top="0.75" bottom="0.75" header="0.3" footer="0.3"/>
  <pageSetup paperSize="9" scale="7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SPICEJET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Lenovo</cp:lastModifiedBy>
  <cp:lastPrinted>2022-04-26T05:56:47Z</cp:lastPrinted>
  <dcterms:created xsi:type="dcterms:W3CDTF">2018-10-29T04:00:09Z</dcterms:created>
  <dcterms:modified xsi:type="dcterms:W3CDTF">2023-09-20T06:43:46Z</dcterms:modified>
</cp:coreProperties>
</file>