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Uploading Annual Report 2023-24\01 Airline Wise Air Transport Operating and Traffic Statistics\AIR INDIA\"/>
    </mc:Choice>
  </mc:AlternateContent>
  <bookViews>
    <workbookView showHorizontalScroll="0" showVerticalScroll="0" xWindow="0" yWindow="0" windowWidth="17070" windowHeight="9660"/>
  </bookViews>
  <sheets>
    <sheet name="AIR INDIA " sheetId="1" r:id="rId1"/>
  </sheets>
  <definedNames>
    <definedName name="_xlnm.Print_Area" localSheetId="0">'AIR INDIA 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17" i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<sst xmlns="http://schemas.openxmlformats.org/spreadsheetml/2006/main" count="26" uniqueCount="24">
  <si>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</si>
  <si>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</si>
  <si>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</si>
  <si>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</si>
  <si>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</si>
  <si>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</si>
  <si>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</si>
  <si>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</si>
  <si>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</si>
  <si>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</si>
  <si>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</si>
  <si>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</si>
  <si>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</si>
  <si>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</si>
  <si>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</si>
  <si>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</si>
  <si>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</si>
  <si>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</si>
  <si>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</si>
  <si>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</si>
  <si>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 xml:space="preserve">Table 1.02 AIR INDIA </t>
  </si>
  <si>
    <t>MONTHLY TRAFFIC AND OPERATING STATISTICS OF AIR INDIA ON SCHEDULED INTERNATIONAL SERVICES DURING 2023-24</t>
  </si>
  <si>
    <t>2023-24</t>
  </si>
  <si>
    <t>तालिका - 1.02 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</si>
</sst>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4" fontId="0" fillId="4" borderId="1" xfId="3" applyNumberFormat="1" applyFont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7" fontId="3" fillId="4" borderId="1" xfId="3" applyNumberFormat="1" applyBorder="1" applyAlignment="1" applyProtection="1">
      <alignment horizontal="center" vertical="center"/>
    </xf>
    <xf numFmtId="167" fontId="2" fillId="2" borderId="1" xfId="0" applyNumberFormat="1" applyFont="1" applyFill="1" applyBorder="1" applyAlignment="1" applyProtection="1">
      <alignment horizontal="center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="85" zoomScaleNormal="100" zoomScaleSheetLayoutView="85" workbookViewId="0">
      <selection activeCell="T5" sqref="T5"/>
    </sheetView>
  </sheetViews>
  <sheetFormatPr defaultColWidth="9.140625" defaultRowHeight="15" x14ac:dyDescent="0.25"/>
  <cols>
    <col min="1" max="1" width="13.5703125" style="1" customWidth="1"/>
    <col min="2" max="2" width="7.85546875" style="1" customWidth="1"/>
    <col min="3" max="3" width="9.5703125" style="1" customWidth="1"/>
    <col min="4" max="4" width="9.28515625" style="1" customWidth="1"/>
    <col min="5" max="5" width="10.28515625" style="1" customWidth="1"/>
    <col min="6" max="6" width="12.42578125" style="1" customWidth="1"/>
    <col min="7" max="7" width="11" style="1" customWidth="1"/>
    <col min="8" max="8" width="6.5703125" style="1" customWidth="1"/>
    <col min="9" max="9" width="11.28515625" style="1" customWidth="1"/>
    <col min="10" max="10" width="9.5703125" style="1" customWidth="1"/>
    <col min="11" max="11" width="11.85546875" style="1" customWidth="1"/>
    <col min="12" max="12" width="10.28515625" style="1" customWidth="1"/>
    <col min="13" max="13" width="8.28515625" style="1" customWidth="1"/>
    <col min="14" max="14" width="10.85546875" style="1" customWidth="1"/>
    <col min="15" max="15" width="8" style="1" customWidth="1"/>
    <col min="16" max="16" width="8.85546875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75" customHeight="1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28.25" customHeight="1" x14ac:dyDescent="0.25">
      <c r="A5" s="20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5"/>
      <c r="H5" s="1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5"/>
      <c r="Q5" s="15"/>
    </row>
    <row r="6" spans="1:17" ht="30" customHeight="1" x14ac:dyDescent="0.25">
      <c r="A6" s="12">
        <v>45017</v>
      </c>
      <c r="B6" s="4">
        <v>3562</v>
      </c>
      <c r="C6" s="4">
        <v>23269.05</v>
      </c>
      <c r="D6" s="4">
        <v>17225.473000000002</v>
      </c>
      <c r="E6" s="4">
        <v>612239</v>
      </c>
      <c r="F6" s="4">
        <v>3432.5888</v>
      </c>
      <c r="G6" s="4">
        <v>4317.2008340000002</v>
      </c>
      <c r="H6" s="5">
        <f t="shared" ref="H6:H18" si="0">F6/G6*100</f>
        <v>79.509592719586692</v>
      </c>
      <c r="I6" s="5">
        <v>8088.2866000000004</v>
      </c>
      <c r="J6" s="5">
        <v>460.06498036857806</v>
      </c>
      <c r="K6" s="5">
        <v>8548.3515803685787</v>
      </c>
      <c r="L6" s="5">
        <v>359.39648185100015</v>
      </c>
      <c r="M6" s="5">
        <v>51.826905021799959</v>
      </c>
      <c r="N6" s="10">
        <v>3.6548382559495907</v>
      </c>
      <c r="O6" s="5">
        <v>414.87822512874976</v>
      </c>
      <c r="P6" s="5">
        <v>615.91800937599987</v>
      </c>
      <c r="Q6" s="5">
        <f t="shared" ref="Q6:Q18" si="1">O6/P6*100</f>
        <v>67.359326860578733</v>
      </c>
    </row>
    <row r="7" spans="1:17" ht="30" customHeight="1" x14ac:dyDescent="0.25">
      <c r="A7" s="13">
        <v>45047</v>
      </c>
      <c r="B7" s="2">
        <v>3620</v>
      </c>
      <c r="C7" s="2">
        <v>23661.049999999981</v>
      </c>
      <c r="D7" s="2">
        <v>17606.928</v>
      </c>
      <c r="E7" s="2">
        <v>657283</v>
      </c>
      <c r="F7" s="2">
        <v>3686.218175</v>
      </c>
      <c r="G7" s="2">
        <v>4436.0836140000001</v>
      </c>
      <c r="H7" s="3">
        <f t="shared" si="0"/>
        <v>83.096228469781948</v>
      </c>
      <c r="I7" s="3">
        <v>8373.0350000000199</v>
      </c>
      <c r="J7" s="3">
        <v>476</v>
      </c>
      <c r="K7" s="3">
        <v>8849.0350000000199</v>
      </c>
      <c r="L7" s="3">
        <v>388.1323039269999</v>
      </c>
      <c r="M7" s="3">
        <v>54.389395235099975</v>
      </c>
      <c r="N7" s="11">
        <v>3.7659574600000045</v>
      </c>
      <c r="O7" s="3">
        <v>446.28765662209986</v>
      </c>
      <c r="P7" s="3">
        <v>636.59942319200059</v>
      </c>
      <c r="Q7" s="3">
        <f t="shared" si="1"/>
        <v>70.104942034717794</v>
      </c>
    </row>
    <row r="8" spans="1:17" ht="30" customHeight="1" x14ac:dyDescent="0.25">
      <c r="A8" s="12">
        <v>45078</v>
      </c>
      <c r="B8" s="4">
        <v>3582</v>
      </c>
      <c r="C8" s="4">
        <v>23642.213999999993</v>
      </c>
      <c r="D8" s="4">
        <v>17705.296999999999</v>
      </c>
      <c r="E8" s="4">
        <v>679701</v>
      </c>
      <c r="F8" s="4">
        <v>3910.0763240000001</v>
      </c>
      <c r="G8" s="4">
        <v>4462.4512779999995</v>
      </c>
      <c r="H8" s="5">
        <f t="shared" si="0"/>
        <v>87.62171462300951</v>
      </c>
      <c r="I8" s="5">
        <v>9561.2880000000023</v>
      </c>
      <c r="J8" s="5">
        <v>454.72051105138991</v>
      </c>
      <c r="K8" s="5">
        <v>10016.008511051392</v>
      </c>
      <c r="L8" s="5">
        <v>409.92283399999997</v>
      </c>
      <c r="M8" s="5">
        <v>60.126076999999995</v>
      </c>
      <c r="N8" s="10">
        <v>0.57216440818717196</v>
      </c>
      <c r="O8" s="5">
        <v>470.6210754081871</v>
      </c>
      <c r="P8" s="5">
        <v>638.72059000000002</v>
      </c>
      <c r="Q8" s="5">
        <f t="shared" si="1"/>
        <v>73.681838784653408</v>
      </c>
    </row>
    <row r="9" spans="1:17" ht="30" customHeight="1" x14ac:dyDescent="0.25">
      <c r="A9" s="13">
        <v>45108</v>
      </c>
      <c r="B9" s="2">
        <v>3701</v>
      </c>
      <c r="C9" s="2">
        <v>24652.638000000061</v>
      </c>
      <c r="D9" s="2">
        <v>18468.82</v>
      </c>
      <c r="E9" s="2">
        <v>690192</v>
      </c>
      <c r="F9" s="2">
        <v>3994.4584330000002</v>
      </c>
      <c r="G9" s="2">
        <v>4676.72271</v>
      </c>
      <c r="H9" s="3">
        <f t="shared" si="0"/>
        <v>85.411487502965528</v>
      </c>
      <c r="I9" s="3">
        <v>9043.116</v>
      </c>
      <c r="J9" s="3">
        <v>454.12214283606301</v>
      </c>
      <c r="K9" s="3">
        <v>9497.2381428360623</v>
      </c>
      <c r="L9" s="3">
        <v>419.56584000000004</v>
      </c>
      <c r="M9" s="3">
        <v>57.427853999999996</v>
      </c>
      <c r="N9" s="11">
        <v>3.4518058343779665</v>
      </c>
      <c r="O9" s="3">
        <v>480.44549983437798</v>
      </c>
      <c r="P9" s="3">
        <v>671.28215299999999</v>
      </c>
      <c r="Q9" s="3">
        <f t="shared" si="1"/>
        <v>71.571320299107967</v>
      </c>
    </row>
    <row r="10" spans="1:17" ht="30" customHeight="1" x14ac:dyDescent="0.25">
      <c r="A10" s="12">
        <v>45139</v>
      </c>
      <c r="B10" s="4">
        <v>3737</v>
      </c>
      <c r="C10" s="4">
        <v>24832.516666666648</v>
      </c>
      <c r="D10" s="4">
        <v>18670.436000000002</v>
      </c>
      <c r="E10" s="4">
        <v>679775</v>
      </c>
      <c r="F10" s="4">
        <v>3949.3040959999998</v>
      </c>
      <c r="G10" s="4">
        <v>4705.0220439999994</v>
      </c>
      <c r="H10" s="5">
        <f t="shared" si="0"/>
        <v>83.938057230492333</v>
      </c>
      <c r="I10" s="5">
        <v>10218.109499999997</v>
      </c>
      <c r="J10" s="5">
        <v>405.21608803220016</v>
      </c>
      <c r="K10" s="5">
        <v>10623.325588032198</v>
      </c>
      <c r="L10" s="5">
        <v>415.24478831900012</v>
      </c>
      <c r="M10" s="5">
        <v>66.6345906353</v>
      </c>
      <c r="N10" s="10">
        <v>3.3800307076192841</v>
      </c>
      <c r="O10" s="5">
        <v>485.25940966191934</v>
      </c>
      <c r="P10" s="5">
        <v>670.91348217199936</v>
      </c>
      <c r="Q10" s="5">
        <f t="shared" si="1"/>
        <v>72.328164891090282</v>
      </c>
    </row>
    <row r="11" spans="1:17" ht="30" customHeight="1" x14ac:dyDescent="0.25">
      <c r="A11" s="13">
        <v>45170</v>
      </c>
      <c r="B11" s="2">
        <v>3600</v>
      </c>
      <c r="C11" s="2">
        <v>23928.749999999953</v>
      </c>
      <c r="D11" s="2">
        <v>17895.466</v>
      </c>
      <c r="E11" s="2">
        <v>654636</v>
      </c>
      <c r="F11" s="2">
        <v>3796.9182170000004</v>
      </c>
      <c r="G11" s="2">
        <v>4504.1742899999999</v>
      </c>
      <c r="H11" s="3">
        <f t="shared" si="0"/>
        <v>84.297764085856457</v>
      </c>
      <c r="I11" s="3">
        <v>11443.286300000011</v>
      </c>
      <c r="J11" s="3">
        <v>348.31377368978667</v>
      </c>
      <c r="K11" s="3">
        <v>11791.600073689797</v>
      </c>
      <c r="L11" s="3">
        <v>399.28013080199923</v>
      </c>
      <c r="M11" s="3">
        <v>74.067025961500022</v>
      </c>
      <c r="N11" s="11">
        <v>2.8448797693706025</v>
      </c>
      <c r="O11" s="3">
        <v>476.19203653286985</v>
      </c>
      <c r="P11" s="3">
        <v>642.38277534399958</v>
      </c>
      <c r="Q11" s="3">
        <f t="shared" si="1"/>
        <v>74.129016967783173</v>
      </c>
    </row>
    <row r="12" spans="1:17" ht="30" customHeight="1" x14ac:dyDescent="0.25">
      <c r="A12" s="12">
        <v>45200</v>
      </c>
      <c r="B12" s="4">
        <v>3798</v>
      </c>
      <c r="C12" s="4">
        <v>25091.050000000003</v>
      </c>
      <c r="D12" s="4">
        <v>18625.763999999999</v>
      </c>
      <c r="E12" s="4">
        <v>694937</v>
      </c>
      <c r="F12" s="4">
        <v>3941.5599500000003</v>
      </c>
      <c r="G12" s="4">
        <v>4684.5435319999997</v>
      </c>
      <c r="H12" s="5">
        <f t="shared" si="0"/>
        <v>84.139680271413923</v>
      </c>
      <c r="I12" s="5">
        <v>12343.312900000006</v>
      </c>
      <c r="J12" s="5">
        <v>328.25102063680663</v>
      </c>
      <c r="K12" s="5">
        <v>12671.563920636812</v>
      </c>
      <c r="L12" s="5">
        <v>412.56935694699996</v>
      </c>
      <c r="M12" s="5">
        <v>84.010622172000012</v>
      </c>
      <c r="N12" s="10">
        <v>2.9671701223847906</v>
      </c>
      <c r="O12" s="5">
        <v>499.54714924138477</v>
      </c>
      <c r="P12" s="5">
        <v>670.36598795199939</v>
      </c>
      <c r="Q12" s="5">
        <f t="shared" si="1"/>
        <v>74.518570186940053</v>
      </c>
    </row>
    <row r="13" spans="1:17" ht="30" customHeight="1" x14ac:dyDescent="0.25">
      <c r="A13" s="13">
        <v>45231</v>
      </c>
      <c r="B13" s="2">
        <v>3923</v>
      </c>
      <c r="C13" s="2">
        <v>25375.166666666631</v>
      </c>
      <c r="D13" s="2">
        <v>18659.239000000001</v>
      </c>
      <c r="E13" s="2">
        <v>718039</v>
      </c>
      <c r="F13" s="2">
        <v>3957.5276450000001</v>
      </c>
      <c r="G13" s="2">
        <v>4653.7772800000002</v>
      </c>
      <c r="H13" s="3">
        <f t="shared" si="0"/>
        <v>85.039042629044758</v>
      </c>
      <c r="I13" s="3">
        <v>11654.902900000021</v>
      </c>
      <c r="J13" s="3">
        <v>342.96785632661528</v>
      </c>
      <c r="K13" s="3">
        <v>11997.870756326636</v>
      </c>
      <c r="L13" s="3">
        <v>413.63638527000018</v>
      </c>
      <c r="M13" s="3">
        <v>80.837470646300019</v>
      </c>
      <c r="N13" s="11">
        <v>3.0711452948158309</v>
      </c>
      <c r="O13" s="3">
        <v>497.54500121111602</v>
      </c>
      <c r="P13" s="3">
        <v>666.03579719599998</v>
      </c>
      <c r="Q13" s="3">
        <f t="shared" si="1"/>
        <v>74.702441416178004</v>
      </c>
    </row>
    <row r="14" spans="1:17" ht="30" customHeight="1" x14ac:dyDescent="0.25">
      <c r="A14" s="12">
        <v>45261</v>
      </c>
      <c r="B14" s="4">
        <v>4182</v>
      </c>
      <c r="C14" s="4">
        <v>27245.1</v>
      </c>
      <c r="D14" s="4">
        <v>20054.594000000001</v>
      </c>
      <c r="E14" s="4">
        <v>802809</v>
      </c>
      <c r="F14" s="4">
        <v>4483.9808830000002</v>
      </c>
      <c r="G14" s="4">
        <v>4995.5233339999995</v>
      </c>
      <c r="H14" s="5">
        <f t="shared" si="0"/>
        <v>89.759982752589835</v>
      </c>
      <c r="I14" s="5">
        <v>12194.811599999997</v>
      </c>
      <c r="J14" s="5">
        <v>321.77334052227599</v>
      </c>
      <c r="K14" s="5">
        <v>12516.584940522273</v>
      </c>
      <c r="L14" s="5">
        <v>469.37803919200036</v>
      </c>
      <c r="M14" s="5">
        <v>81.128625632600063</v>
      </c>
      <c r="N14" s="10">
        <v>2.6460508957957924</v>
      </c>
      <c r="O14" s="5">
        <v>553.15271572039626</v>
      </c>
      <c r="P14" s="5">
        <v>715.37687739199976</v>
      </c>
      <c r="Q14" s="5">
        <f t="shared" si="1"/>
        <v>77.323258998387956</v>
      </c>
    </row>
    <row r="15" spans="1:17" ht="30" customHeight="1" x14ac:dyDescent="0.25">
      <c r="A15" s="13">
        <v>45292</v>
      </c>
      <c r="B15" s="2">
        <v>4162</v>
      </c>
      <c r="C15" s="2">
        <v>27505.033333333329</v>
      </c>
      <c r="D15" s="2">
        <v>20173.116000000002</v>
      </c>
      <c r="E15" s="2">
        <v>800640</v>
      </c>
      <c r="F15" s="2">
        <v>4506.1645840000001</v>
      </c>
      <c r="G15" s="2">
        <v>5032.3697940000002</v>
      </c>
      <c r="H15" s="3">
        <f t="shared" si="0"/>
        <v>89.543590166458259</v>
      </c>
      <c r="I15" s="3">
        <v>10800.316799999999</v>
      </c>
      <c r="J15" s="3">
        <v>307.22793439056375</v>
      </c>
      <c r="K15" s="3">
        <v>11107.544734390562</v>
      </c>
      <c r="L15" s="3">
        <v>470.56206672800005</v>
      </c>
      <c r="M15" s="3">
        <v>69.362978574199985</v>
      </c>
      <c r="N15" s="11">
        <v>2.4258691911466856</v>
      </c>
      <c r="O15" s="3">
        <v>542.35091449334675</v>
      </c>
      <c r="P15" s="3">
        <v>724.55243582399953</v>
      </c>
      <c r="Q15" s="3">
        <f t="shared" si="1"/>
        <v>74.85323182670092</v>
      </c>
    </row>
    <row r="16" spans="1:17" ht="30" customHeight="1" x14ac:dyDescent="0.25">
      <c r="A16" s="12">
        <v>45323</v>
      </c>
      <c r="B16" s="4">
        <v>3909</v>
      </c>
      <c r="C16" s="4">
        <v>25853.666666666682</v>
      </c>
      <c r="D16" s="4">
        <v>18919.651000000002</v>
      </c>
      <c r="E16" s="4">
        <v>757419</v>
      </c>
      <c r="F16" s="4">
        <v>4268.6225560000003</v>
      </c>
      <c r="G16" s="4">
        <v>4756.5055319999992</v>
      </c>
      <c r="H16" s="5">
        <f t="shared" si="0"/>
        <v>89.742827529208071</v>
      </c>
      <c r="I16" s="5">
        <v>12208.689900000005</v>
      </c>
      <c r="J16" s="5">
        <v>273.02511074465673</v>
      </c>
      <c r="K16" s="5">
        <v>12481.715010744661</v>
      </c>
      <c r="L16" s="5">
        <v>446.30897118699988</v>
      </c>
      <c r="M16" s="5">
        <v>82.470070126600049</v>
      </c>
      <c r="N16" s="10">
        <v>2.0877845854279826</v>
      </c>
      <c r="O16" s="5">
        <v>530.86682589902784</v>
      </c>
      <c r="P16" s="5">
        <v>688.63645241999905</v>
      </c>
      <c r="Q16" s="5">
        <f t="shared" si="1"/>
        <v>77.089562138841345</v>
      </c>
    </row>
    <row r="17" spans="1:17" ht="30" customHeight="1" x14ac:dyDescent="0.25">
      <c r="A17" s="13">
        <v>45352</v>
      </c>
      <c r="B17" s="2">
        <v>4077</v>
      </c>
      <c r="C17" s="2">
        <v>27082.716666666638</v>
      </c>
      <c r="D17" s="2">
        <v>19966.883000000002</v>
      </c>
      <c r="E17" s="2">
        <v>785383</v>
      </c>
      <c r="F17" s="2">
        <v>4477.6500999999998</v>
      </c>
      <c r="G17" s="2">
        <v>5058.825092</v>
      </c>
      <c r="H17" s="3">
        <f t="shared" si="0"/>
        <v>88.511660683444717</v>
      </c>
      <c r="I17" s="3">
        <v>13720.013399999998</v>
      </c>
      <c r="J17" s="3">
        <v>261.62224851176285</v>
      </c>
      <c r="K17" s="3">
        <v>13981.635648511761</v>
      </c>
      <c r="L17" s="3">
        <v>468.84407709300046</v>
      </c>
      <c r="M17" s="3">
        <v>89.715133872799953</v>
      </c>
      <c r="N17" s="11">
        <v>2.3017786609387447</v>
      </c>
      <c r="O17" s="3">
        <v>560.86098962673918</v>
      </c>
      <c r="P17" s="3">
        <v>734.3954852959954</v>
      </c>
      <c r="Q17" s="3">
        <f t="shared" si="1"/>
        <v>76.370429946296071</v>
      </c>
    </row>
    <row r="18" spans="1:17" ht="30" customHeight="1" x14ac:dyDescent="0.25">
      <c r="A18" s="6" t="s">
        <v>22</v>
      </c>
      <c r="B18" s="7">
        <f>SUM(B6:B17)</f>
        <v>45853</v>
      </c>
      <c r="C18" s="7">
        <f t="shared" ref="C18:G18" si="2">SUM(C6:C17)</f>
        <v>302138.95199999987</v>
      </c>
      <c r="D18" s="7">
        <f t="shared" si="2"/>
        <v>223971.66700000004</v>
      </c>
      <c r="E18" s="7">
        <f t="shared" si="2"/>
        <v>8533053</v>
      </c>
      <c r="F18" s="8">
        <f t="shared" si="2"/>
        <v>48405.069762999992</v>
      </c>
      <c r="G18" s="8">
        <f t="shared" si="2"/>
        <v>56283.19933399999</v>
      </c>
      <c r="H18" s="8">
        <f t="shared" si="0"/>
        <v>86.002697671379678</v>
      </c>
      <c r="I18" s="8">
        <f>SUM(I6:I17)</f>
        <v>129649.16890000005</v>
      </c>
      <c r="J18" s="8">
        <f t="shared" ref="J18:P18" si="3">SUM(J6:J17)</f>
        <v>4433.3050071106991</v>
      </c>
      <c r="K18" s="8">
        <f t="shared" si="3"/>
        <v>134082.47390711075</v>
      </c>
      <c r="L18" s="8">
        <f t="shared" si="3"/>
        <v>5072.8412753160001</v>
      </c>
      <c r="M18" s="8">
        <f t="shared" si="3"/>
        <v>851.99674887820004</v>
      </c>
      <c r="N18" s="8">
        <f t="shared" si="3"/>
        <v>33.169475186014445</v>
      </c>
      <c r="O18" s="8">
        <f t="shared" si="3"/>
        <v>5958.0074993802136</v>
      </c>
      <c r="P18" s="8">
        <f t="shared" si="3"/>
        <v>8075.1794691639934</v>
      </c>
      <c r="Q18" s="8">
        <f t="shared" si="1"/>
        <v>73.781734785357457</v>
      </c>
    </row>
    <row r="19" spans="1:17" ht="15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</vt:lpstr>
      <vt:lpstr>'AIR INDIA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2022-12-09T06:41:10Z</cp:lastPrinted>
  <dcterms:created xsi:type="dcterms:W3CDTF">2018-10-29T04:00:09Z</dcterms:created>
  <dcterms:modified xsi:type="dcterms:W3CDTF">2025-11-10T07:53:48Z</dcterms:modified>
</cp:coreProperties>
</file>