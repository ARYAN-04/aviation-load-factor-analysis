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Monthly_Template!$A$1:$Q$77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O16" i="2" s="1"/>
  <c r="Q16" i="2" s="1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<sst xmlns="http://schemas.openxmlformats.org/spreadsheetml/2006/main" count="154" uniqueCount="43">
  <si>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</si>
  <si>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 EXPRESS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</si>
  <si>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</si>
  <si>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</si>
  <si>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</si>
  <si>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</si>
  <si>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</si>
  <si>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</si>
  <si>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</si>
  <si>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</si>
  <si>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</si>
  <si>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</si>
  <si>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</si>
  <si>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</si>
  <si>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</si>
  <si>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</si>
  <si>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</si>
  <si>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</si>
  <si>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</si>
  <si>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</si>
  <si>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</si>
  <si>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</si>
  <si>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</si>
  <si>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</si>
  <si>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</si>
  <si>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</si>
  <si>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</si>
  <si>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</si>
  <si>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</si>
  <si>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</si>
  <si>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</si>
  <si>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</si>
  <si>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</si>
  <si>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</si>
  <si>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</si>
  <si>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 EXPRESS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</si>
  <si>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</si>
  <si>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</si>
  <si>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</si>
  <si>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</si>
  <si>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</si>
  <si>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</si>
  <si>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Note:  In wake of Covid-19 all International scheduled operations carried by Indian carriers have been suspended as per DGCA's Circular dated 26-03-2020.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</si>
</sst>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b/>
      <sz val="14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22" fillId="3" borderId="5" xfId="1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5" transitionEvaluation="1" transitionEntry="1" codeName="Sheet12"/>
  <dimension ref="A1:Q494"/>
  <sheetViews>
    <sheetView showGridLines="0" tabSelected="1" view="pageLayout" topLeftCell="A35" zoomScaleNormal="85" zoomScaleSheetLayoutView="115" workbookViewId="0">
      <selection activeCell="A77" sqref="A77:Q77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2021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44</v>
      </c>
      <c r="C4" s="5">
        <v>131.21</v>
      </c>
      <c r="D4" s="6">
        <v>78.367999999999995</v>
      </c>
      <c r="E4" s="7">
        <v>3075</v>
      </c>
      <c r="F4" s="5">
        <v>5566.4960000000001</v>
      </c>
      <c r="G4" s="5">
        <v>14576.448</v>
      </c>
      <c r="H4" s="8">
        <f>IFERROR(F4/G4*100," ")</f>
        <v>38.188288395087753</v>
      </c>
      <c r="I4" s="9">
        <v>9.9629999999999992</v>
      </c>
      <c r="J4" s="10"/>
      <c r="K4" s="8">
        <f>IF(AND(ISBLANK(I4),ISBLANK(J4))=TRUE,"",I4+J4)</f>
        <v>9.9629999999999992</v>
      </c>
      <c r="L4" s="9">
        <v>1230.635454</v>
      </c>
      <c r="M4" s="10">
        <v>9.5303930000000001</v>
      </c>
      <c r="N4" s="10"/>
      <c r="O4" s="8">
        <f>IF(AND(ISBLANK(L4),ISBLANK(M4),ISBLANK(N4))=TRUE,"",L4+M4+N4)</f>
        <v>1240.165847</v>
      </c>
      <c r="P4" s="10">
        <v>1433.9663109999999</v>
      </c>
      <c r="Q4" s="8">
        <f>IFERROR(O4/P4*100," ")</f>
        <v>86.485005783375072</v>
      </c>
    </row>
    <row r="5" spans="1:17" ht="23.1" customHeight="1" x14ac:dyDescent="0.3">
      <c r="A5" s="11" t="s">
        <v>23</v>
      </c>
      <c r="B5" s="12">
        <v>28</v>
      </c>
      <c r="C5" s="12">
        <v>84.95</v>
      </c>
      <c r="D5" s="11">
        <v>50.048387096774192</v>
      </c>
      <c r="E5" s="13">
        <v>1712</v>
      </c>
      <c r="F5" s="12">
        <v>3138</v>
      </c>
      <c r="G5" s="12">
        <v>9309</v>
      </c>
      <c r="H5" s="14">
        <f t="shared" ref="H5:H16" si="0">IFERROR(F5/G5*100," ")</f>
        <v>33.709313567515309</v>
      </c>
      <c r="I5" s="15">
        <v>6.2670000000000003</v>
      </c>
      <c r="J5" s="16"/>
      <c r="K5" s="14">
        <f t="shared" ref="K5:K16" si="1">IF(AND(ISBLANK(I5),ISBLANK(J5))=TRUE,"",I5+J5)</f>
        <v>6.2670000000000003</v>
      </c>
      <c r="L5" s="15">
        <v>234.62712400000001</v>
      </c>
      <c r="M5" s="16">
        <v>12.923883</v>
      </c>
      <c r="N5" s="16"/>
      <c r="O5" s="14">
        <f t="shared" ref="O5:O16" si="2">IF(AND(ISBLANK(L5),ISBLANK(M5),ISBLANK(N5))=TRUE,"",L5+M5+N5)</f>
        <v>247.551007</v>
      </c>
      <c r="P5" s="16">
        <v>297.74931900000001</v>
      </c>
      <c r="Q5" s="14">
        <f t="shared" ref="Q5:Q16" si="3">IFERROR(O5/P5*100," ")</f>
        <v>83.140746662799245</v>
      </c>
    </row>
    <row r="6" spans="1:17" ht="23.1" customHeight="1" x14ac:dyDescent="0.3">
      <c r="A6" s="17" t="s">
        <v>24</v>
      </c>
      <c r="B6" s="18">
        <v>16</v>
      </c>
      <c r="C6" s="18">
        <v>50.04</v>
      </c>
      <c r="D6" s="17">
        <v>29.682795698924732</v>
      </c>
      <c r="E6" s="19">
        <v>689</v>
      </c>
      <c r="F6" s="18">
        <v>1306</v>
      </c>
      <c r="G6" s="18">
        <v>5521</v>
      </c>
      <c r="H6" s="20">
        <f t="shared" si="0"/>
        <v>23.655134939322586</v>
      </c>
      <c r="I6" s="21">
        <v>7.2569999999999997</v>
      </c>
      <c r="J6" s="22"/>
      <c r="K6" s="20">
        <f t="shared" si="1"/>
        <v>7.2569999999999997</v>
      </c>
      <c r="L6" s="21">
        <v>125.99506</v>
      </c>
      <c r="M6" s="22">
        <v>15.004968999999999</v>
      </c>
      <c r="N6" s="22"/>
      <c r="O6" s="20">
        <f t="shared" si="2"/>
        <v>141.00002899999998</v>
      </c>
      <c r="P6" s="22">
        <v>175.77228200000002</v>
      </c>
      <c r="Q6" s="20">
        <f t="shared" si="3"/>
        <v>80.217442361020247</v>
      </c>
    </row>
    <row r="7" spans="1:17" ht="23.1" customHeight="1" x14ac:dyDescent="0.3">
      <c r="A7" s="11" t="s">
        <v>25</v>
      </c>
      <c r="B7" s="12"/>
      <c r="C7" s="12"/>
      <c r="D7" s="11"/>
      <c r="E7" s="13"/>
      <c r="F7" s="12"/>
      <c r="G7" s="12"/>
      <c r="H7" s="14" t="str">
        <f t="shared" si="0"/>
        <v xml:space="preserve"> </v>
      </c>
      <c r="I7" s="15"/>
      <c r="J7" s="16"/>
      <c r="K7" s="14" t="str">
        <f t="shared" si="1"/>
        <v/>
      </c>
      <c r="L7" s="15"/>
      <c r="M7" s="16"/>
      <c r="N7" s="16"/>
      <c r="O7" s="14" t="str">
        <f t="shared" si="2"/>
        <v/>
      </c>
      <c r="P7" s="16"/>
      <c r="Q7" s="14" t="str">
        <f t="shared" si="3"/>
        <v xml:space="preserve"> </v>
      </c>
    </row>
    <row r="8" spans="1:17" s="23" customFormat="1" ht="30" customHeight="1" x14ac:dyDescent="0.25">
      <c r="A8" s="17" t="s">
        <v>26</v>
      </c>
      <c r="B8" s="18"/>
      <c r="C8" s="18"/>
      <c r="D8" s="17"/>
      <c r="E8" s="19"/>
      <c r="F8" s="18"/>
      <c r="G8" s="18"/>
      <c r="H8" s="20" t="str">
        <f t="shared" si="0"/>
        <v xml:space="preserve"> </v>
      </c>
      <c r="I8" s="21"/>
      <c r="J8" s="22"/>
      <c r="K8" s="20" t="str">
        <f t="shared" si="1"/>
        <v/>
      </c>
      <c r="L8" s="21"/>
      <c r="M8" s="22"/>
      <c r="N8" s="22"/>
      <c r="O8" s="20" t="str">
        <f t="shared" si="2"/>
        <v/>
      </c>
      <c r="P8" s="22"/>
      <c r="Q8" s="20" t="str">
        <f t="shared" si="3"/>
        <v xml:space="preserve"> </v>
      </c>
    </row>
    <row r="9" spans="1:17" ht="23.1" customHeight="1" x14ac:dyDescent="0.3">
      <c r="A9" s="11" t="s">
        <v>27</v>
      </c>
      <c r="B9" s="12"/>
      <c r="C9" s="12"/>
      <c r="D9" s="11"/>
      <c r="E9" s="13"/>
      <c r="F9" s="12"/>
      <c r="G9" s="12"/>
      <c r="H9" s="14" t="str">
        <f t="shared" si="0"/>
        <v xml:space="preserve"> </v>
      </c>
      <c r="I9" s="15"/>
      <c r="J9" s="16"/>
      <c r="K9" s="14" t="str">
        <f t="shared" si="1"/>
        <v/>
      </c>
      <c r="L9" s="15"/>
      <c r="M9" s="16"/>
      <c r="N9" s="16"/>
      <c r="O9" s="14" t="str">
        <f t="shared" si="2"/>
        <v/>
      </c>
      <c r="P9" s="16"/>
      <c r="Q9" s="14" t="str">
        <f t="shared" si="3"/>
        <v xml:space="preserve"> </v>
      </c>
    </row>
    <row r="10" spans="1:17" ht="23.1" customHeight="1" x14ac:dyDescent="0.3">
      <c r="A10" s="17" t="s">
        <v>28</v>
      </c>
      <c r="B10" s="18"/>
      <c r="C10" s="18"/>
      <c r="D10" s="17"/>
      <c r="E10" s="19"/>
      <c r="F10" s="18"/>
      <c r="G10" s="18"/>
      <c r="H10" s="20" t="str">
        <f t="shared" si="0"/>
        <v xml:space="preserve"> </v>
      </c>
      <c r="I10" s="21"/>
      <c r="J10" s="22"/>
      <c r="K10" s="20" t="str">
        <f t="shared" si="1"/>
        <v/>
      </c>
      <c r="L10" s="21"/>
      <c r="M10" s="22"/>
      <c r="N10" s="22"/>
      <c r="O10" s="20" t="str">
        <f t="shared" si="2"/>
        <v/>
      </c>
      <c r="P10" s="22"/>
      <c r="Q10" s="20" t="str">
        <f t="shared" si="3"/>
        <v xml:space="preserve"> </v>
      </c>
    </row>
    <row r="11" spans="1:17" ht="23.1" customHeight="1" x14ac:dyDescent="0.3">
      <c r="A11" s="11" t="s">
        <v>29</v>
      </c>
      <c r="B11" s="12"/>
      <c r="C11" s="12"/>
      <c r="D11" s="11"/>
      <c r="E11" s="13"/>
      <c r="F11" s="12"/>
      <c r="G11" s="12"/>
      <c r="H11" s="14" t="str">
        <f t="shared" si="0"/>
        <v xml:space="preserve"> </v>
      </c>
      <c r="I11" s="15"/>
      <c r="J11" s="16"/>
      <c r="K11" s="14" t="str">
        <f t="shared" si="1"/>
        <v/>
      </c>
      <c r="L11" s="15"/>
      <c r="M11" s="16"/>
      <c r="N11" s="16"/>
      <c r="O11" s="14" t="str">
        <f t="shared" si="2"/>
        <v/>
      </c>
      <c r="P11" s="16"/>
      <c r="Q11" s="14" t="str">
        <f t="shared" si="3"/>
        <v xml:space="preserve"> </v>
      </c>
    </row>
    <row r="12" spans="1:17" ht="23.1" customHeight="1" x14ac:dyDescent="0.3">
      <c r="A12" s="17" t="s">
        <v>30</v>
      </c>
      <c r="B12" s="18"/>
      <c r="C12" s="18"/>
      <c r="D12" s="17"/>
      <c r="E12" s="19"/>
      <c r="F12" s="18"/>
      <c r="G12" s="18"/>
      <c r="H12" s="20" t="str">
        <f t="shared" si="0"/>
        <v xml:space="preserve"> </v>
      </c>
      <c r="I12" s="21"/>
      <c r="J12" s="22"/>
      <c r="K12" s="20" t="str">
        <f t="shared" si="1"/>
        <v/>
      </c>
      <c r="L12" s="21"/>
      <c r="M12" s="22"/>
      <c r="N12" s="22"/>
      <c r="O12" s="20" t="str">
        <f t="shared" si="2"/>
        <v/>
      </c>
      <c r="P12" s="22"/>
      <c r="Q12" s="20" t="str">
        <f t="shared" si="3"/>
        <v xml:space="preserve"> </v>
      </c>
    </row>
    <row r="13" spans="1:17" ht="23.1" customHeight="1" x14ac:dyDescent="0.3">
      <c r="A13" s="11" t="s">
        <v>31</v>
      </c>
      <c r="B13" s="12">
        <v>4</v>
      </c>
      <c r="C13" s="12">
        <v>12.28</v>
      </c>
      <c r="D13" s="11">
        <v>3.8839999999999999</v>
      </c>
      <c r="E13" s="13">
        <v>271</v>
      </c>
      <c r="F13" s="12">
        <v>518.51400000000001</v>
      </c>
      <c r="G13" s="12">
        <v>722.42399999999998</v>
      </c>
      <c r="H13" s="14">
        <f t="shared" si="0"/>
        <v>71.774193548387103</v>
      </c>
      <c r="I13" s="15">
        <v>1.96</v>
      </c>
      <c r="J13" s="16"/>
      <c r="K13" s="14">
        <f t="shared" si="1"/>
        <v>1.96</v>
      </c>
      <c r="L13" s="15">
        <v>75.592230000000001</v>
      </c>
      <c r="M13" s="16">
        <v>3.3351790000000001</v>
      </c>
      <c r="N13" s="16">
        <v>0</v>
      </c>
      <c r="O13" s="14">
        <f t="shared" si="2"/>
        <v>78.927408999999997</v>
      </c>
      <c r="P13" s="16">
        <v>104.96935000000001</v>
      </c>
      <c r="Q13" s="14">
        <f t="shared" si="3"/>
        <v>75.190909536926725</v>
      </c>
    </row>
    <row r="14" spans="1:17" ht="23.1" customHeight="1" x14ac:dyDescent="0.3">
      <c r="A14" s="17" t="s">
        <v>32</v>
      </c>
      <c r="B14" s="18">
        <v>76</v>
      </c>
      <c r="C14" s="18">
        <v>202.90999999999991</v>
      </c>
      <c r="D14" s="17">
        <v>118.58200000000001</v>
      </c>
      <c r="E14" s="19">
        <v>7517</v>
      </c>
      <c r="F14" s="18">
        <v>11480.754999999999</v>
      </c>
      <c r="G14" s="18">
        <v>22056.252</v>
      </c>
      <c r="H14" s="20">
        <f t="shared" si="0"/>
        <v>52.052157365630379</v>
      </c>
      <c r="I14" s="21">
        <v>17.082000000000001</v>
      </c>
      <c r="J14" s="22">
        <v>0.50700000000000001</v>
      </c>
      <c r="K14" s="20">
        <f t="shared" si="1"/>
        <v>17.589000000000002</v>
      </c>
      <c r="L14" s="21">
        <v>896.47388899999999</v>
      </c>
      <c r="M14" s="22">
        <v>33.401654999999998</v>
      </c>
      <c r="N14" s="22">
        <v>0.98358000000000001</v>
      </c>
      <c r="O14" s="20">
        <f t="shared" si="2"/>
        <v>930.85912399999995</v>
      </c>
      <c r="P14" s="22">
        <v>1111.573654</v>
      </c>
      <c r="Q14" s="20">
        <f t="shared" si="3"/>
        <v>83.742460128512548</v>
      </c>
    </row>
    <row r="15" spans="1:17" ht="23.1" customHeight="1" x14ac:dyDescent="0.3">
      <c r="A15" s="24" t="s">
        <v>33</v>
      </c>
      <c r="B15" s="25">
        <v>70</v>
      </c>
      <c r="C15" s="25">
        <v>183.71</v>
      </c>
      <c r="D15" s="26">
        <v>106.12</v>
      </c>
      <c r="E15" s="27">
        <v>7314</v>
      </c>
      <c r="F15" s="25">
        <v>10888.549000000001</v>
      </c>
      <c r="G15" s="25">
        <v>19738.32</v>
      </c>
      <c r="H15" s="28">
        <f t="shared" si="0"/>
        <v>55.164517547592709</v>
      </c>
      <c r="I15" s="29">
        <v>16.541</v>
      </c>
      <c r="J15" s="30">
        <v>1.8260000000000001</v>
      </c>
      <c r="K15" s="28">
        <f t="shared" si="1"/>
        <v>18.367000000000001</v>
      </c>
      <c r="L15" s="29">
        <v>723.39546299999995</v>
      </c>
      <c r="M15" s="30">
        <v>32.190114999999999</v>
      </c>
      <c r="N15" s="30">
        <v>3.54244</v>
      </c>
      <c r="O15" s="28">
        <f t="shared" si="2"/>
        <v>759.128018</v>
      </c>
      <c r="P15" s="16">
        <v>873.405306</v>
      </c>
      <c r="Q15" s="14">
        <f t="shared" si="3"/>
        <v>86.91589263141023</v>
      </c>
    </row>
    <row r="16" spans="1:17" ht="23.1" customHeight="1" x14ac:dyDescent="0.3">
      <c r="A16" s="31" t="s">
        <v>34</v>
      </c>
      <c r="B16" s="32">
        <f t="shared" ref="B16:G16" si="4">SUM(B4:B15)</f>
        <v>238</v>
      </c>
      <c r="C16" s="32">
        <f t="shared" si="4"/>
        <v>665.09999999999991</v>
      </c>
      <c r="D16" s="32">
        <f t="shared" si="4"/>
        <v>386.68518279569895</v>
      </c>
      <c r="E16" s="32">
        <f t="shared" si="4"/>
        <v>20578</v>
      </c>
      <c r="F16" s="32">
        <f t="shared" si="4"/>
        <v>32898.313999999998</v>
      </c>
      <c r="G16" s="32">
        <f t="shared" si="4"/>
        <v>71923.443999999989</v>
      </c>
      <c r="H16" s="33">
        <f t="shared" si="0"/>
        <v>45.740737887913156</v>
      </c>
      <c r="I16" s="33">
        <f>SUM(I4:I15)</f>
        <v>59.070000000000007</v>
      </c>
      <c r="J16" s="33">
        <f>SUM(J4:J15)</f>
        <v>2.3330000000000002</v>
      </c>
      <c r="K16" s="33">
        <f t="shared" si="1"/>
        <v>61.403000000000006</v>
      </c>
      <c r="L16" s="33">
        <f>SUM(L4:L15)</f>
        <v>3286.71922</v>
      </c>
      <c r="M16" s="33">
        <f>SUM(M4:M15)</f>
        <v>106.38619399999999</v>
      </c>
      <c r="N16" s="33">
        <f>SUM(N4:N15)</f>
        <v>4.5260199999999999</v>
      </c>
      <c r="O16" s="33">
        <f t="shared" si="2"/>
        <v>3397.6314339999999</v>
      </c>
      <c r="P16" s="34">
        <f>SUM(P4:P15)</f>
        <v>3997.4362220000003</v>
      </c>
      <c r="Q16" s="34">
        <f t="shared" si="3"/>
        <v>84.995263096407697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2021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2021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0</v>
      </c>
      <c r="C54" s="116">
        <f t="shared" si="14"/>
        <v>0</v>
      </c>
      <c r="D54" s="116">
        <f t="shared" si="14"/>
        <v>0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0</v>
      </c>
      <c r="M54" s="117">
        <f>SUM(M42:M53)</f>
        <v>0</v>
      </c>
      <c r="N54" s="117">
        <f>SUM(N42:N53)</f>
        <v>0</v>
      </c>
      <c r="O54" s="117">
        <f t="shared" si="12"/>
        <v>0</v>
      </c>
      <c r="P54" s="118">
        <f>SUM(P42:P53)</f>
        <v>0</v>
      </c>
      <c r="Q54" s="117" t="str">
        <f t="shared" si="13"/>
        <v xml:space="preserve"> 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2021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1781</v>
      </c>
      <c r="C61" s="123">
        <v>6720.3500000000095</v>
      </c>
      <c r="D61" s="124">
        <v>4508.5630000000001</v>
      </c>
      <c r="E61" s="122">
        <v>211845</v>
      </c>
      <c r="F61" s="123">
        <v>583081.30500000005</v>
      </c>
      <c r="G61" s="123">
        <v>838592.71799999999</v>
      </c>
      <c r="H61" s="125">
        <f t="shared" ref="H61:H73" si="15">IFERROR(F61/G61*100," ")</f>
        <v>69.53092871955991</v>
      </c>
      <c r="I61" s="126">
        <v>1388.2390000000005</v>
      </c>
      <c r="J61" s="127">
        <v>6.3230000000000004</v>
      </c>
      <c r="K61" s="127">
        <f>IF(AND(ISBLANK(I61),ISBLANK(J61))=TRUE,"",I61+J61)</f>
        <v>1394.5620000000006</v>
      </c>
      <c r="L61" s="126">
        <v>40191.405009000002</v>
      </c>
      <c r="M61" s="127">
        <v>4014.4154779999999</v>
      </c>
      <c r="N61" s="127">
        <v>18.651057000000002</v>
      </c>
      <c r="O61" s="128">
        <f>IF(AND(ISBLANK(L61),ISBLANK(M61),ISBLANK(N61))=TRUE,"",L61+M61+N61)</f>
        <v>44224.471544000007</v>
      </c>
      <c r="P61" s="127">
        <v>55696.125522000002</v>
      </c>
      <c r="Q61" s="125">
        <f>IFERROR(O61/P61*100," ")</f>
        <v>79.403138242589804</v>
      </c>
    </row>
    <row r="62" spans="1:17" ht="24.75" customHeight="1" x14ac:dyDescent="0.3">
      <c r="A62" s="76" t="s">
        <v>23</v>
      </c>
      <c r="B62" s="91">
        <v>1551</v>
      </c>
      <c r="C62" s="92">
        <v>5941.9399999999978</v>
      </c>
      <c r="D62" s="103">
        <v>3996.7539999999999</v>
      </c>
      <c r="E62" s="91">
        <v>182235</v>
      </c>
      <c r="F62" s="92">
        <v>497559.59600000002</v>
      </c>
      <c r="G62" s="92">
        <v>743396.24399999995</v>
      </c>
      <c r="H62" s="129">
        <f t="shared" si="15"/>
        <v>66.930603970067963</v>
      </c>
      <c r="I62" s="93">
        <v>1380.9169999999999</v>
      </c>
      <c r="J62" s="94">
        <v>3.2569999999999997</v>
      </c>
      <c r="K62" s="94">
        <f t="shared" ref="K62:K73" si="16">IF(AND(ISBLANK(I62),ISBLANK(J62))=TRUE,"",I62+J62)</f>
        <v>1384.174</v>
      </c>
      <c r="L62" s="93">
        <v>33214.201751000001</v>
      </c>
      <c r="M62" s="94">
        <v>3967.944137</v>
      </c>
      <c r="N62" s="94">
        <v>9.5946239999999996</v>
      </c>
      <c r="O62" s="80">
        <f t="shared" ref="O62:O73" si="17">IF(AND(ISBLANK(L62),ISBLANK(M62),ISBLANK(N62))=TRUE,"",L62+M62+N62)</f>
        <v>37191.740511999997</v>
      </c>
      <c r="P62" s="94">
        <v>47061.895685999996</v>
      </c>
      <c r="Q62" s="129">
        <f t="shared" ref="Q62:Q73" si="18">IFERROR(O62/P62*100," ")</f>
        <v>79.027289423583127</v>
      </c>
    </row>
    <row r="63" spans="1:17" ht="24.75" customHeight="1" x14ac:dyDescent="0.3">
      <c r="A63" s="121" t="s">
        <v>24</v>
      </c>
      <c r="B63" s="130">
        <v>1745</v>
      </c>
      <c r="C63" s="131">
        <v>6651.4400000000005</v>
      </c>
      <c r="D63" s="132">
        <v>4481.9989999999998</v>
      </c>
      <c r="E63" s="130">
        <v>211519</v>
      </c>
      <c r="F63" s="131">
        <v>581003.02899999998</v>
      </c>
      <c r="G63" s="131">
        <v>833651.81400000001</v>
      </c>
      <c r="H63" s="133">
        <f t="shared" si="15"/>
        <v>69.69372815399403</v>
      </c>
      <c r="I63" s="134">
        <v>1667.008</v>
      </c>
      <c r="J63" s="135">
        <v>2.6290000000000004</v>
      </c>
      <c r="K63" s="135">
        <f t="shared" si="16"/>
        <v>1669.6369999999999</v>
      </c>
      <c r="L63" s="134">
        <v>37711.684068999995</v>
      </c>
      <c r="M63" s="135">
        <v>4857.0799469999993</v>
      </c>
      <c r="N63" s="135">
        <v>8.3108550000000001</v>
      </c>
      <c r="O63" s="136">
        <f t="shared" si="17"/>
        <v>42577.074870999997</v>
      </c>
      <c r="P63" s="135">
        <v>54252.401339000004</v>
      </c>
      <c r="Q63" s="133">
        <f t="shared" si="18"/>
        <v>78.479613473612176</v>
      </c>
    </row>
    <row r="64" spans="1:17" ht="24.75" customHeight="1" x14ac:dyDescent="0.3">
      <c r="A64" s="76" t="s">
        <v>25</v>
      </c>
      <c r="B64" s="91">
        <v>1656</v>
      </c>
      <c r="C64" s="92">
        <v>5692.370000000019</v>
      </c>
      <c r="D64" s="103">
        <v>4333.1810000000005</v>
      </c>
      <c r="E64" s="91">
        <v>161683</v>
      </c>
      <c r="F64" s="92">
        <v>447329.62099999998</v>
      </c>
      <c r="G64" s="92">
        <v>805971.66600000008</v>
      </c>
      <c r="H64" s="129">
        <f t="shared" si="15"/>
        <v>55.501904083064865</v>
      </c>
      <c r="I64" s="93">
        <v>1742.491</v>
      </c>
      <c r="J64" s="94">
        <v>2.2610000000000001</v>
      </c>
      <c r="K64" s="94">
        <f t="shared" si="16"/>
        <v>1744.752</v>
      </c>
      <c r="L64" s="93">
        <v>28844.058057999999</v>
      </c>
      <c r="M64" s="94">
        <v>5138.2343899999996</v>
      </c>
      <c r="N64" s="94">
        <v>7.0324350000000004</v>
      </c>
      <c r="O64" s="80">
        <f t="shared" si="17"/>
        <v>33989.324883000001</v>
      </c>
      <c r="P64" s="94">
        <v>43426.457128000002</v>
      </c>
      <c r="Q64" s="129">
        <f t="shared" si="18"/>
        <v>78.268703299502562</v>
      </c>
    </row>
    <row r="65" spans="1:17" ht="24.75" customHeight="1" x14ac:dyDescent="0.3">
      <c r="A65" s="121" t="s">
        <v>26</v>
      </c>
      <c r="B65" s="130">
        <v>1145</v>
      </c>
      <c r="C65" s="131">
        <v>3902.629999999996</v>
      </c>
      <c r="D65" s="132">
        <v>2916.15</v>
      </c>
      <c r="E65" s="130">
        <v>49102</v>
      </c>
      <c r="F65" s="131">
        <v>148210.538</v>
      </c>
      <c r="G65" s="131">
        <v>542403.9</v>
      </c>
      <c r="H65" s="133">
        <f t="shared" si="15"/>
        <v>27.324755223920771</v>
      </c>
      <c r="I65" s="134">
        <v>1898.893</v>
      </c>
      <c r="J65" s="135">
        <v>2.2610000000000001</v>
      </c>
      <c r="K65" s="135">
        <f t="shared" si="16"/>
        <v>1901.154</v>
      </c>
      <c r="L65" s="134">
        <v>28925.853799</v>
      </c>
      <c r="M65" s="135">
        <v>5613.0179529999996</v>
      </c>
      <c r="N65" s="135">
        <v>7.0305240000000007</v>
      </c>
      <c r="O65" s="136">
        <f t="shared" si="17"/>
        <v>34545.902276000001</v>
      </c>
      <c r="P65" s="135">
        <v>44453.830153999996</v>
      </c>
      <c r="Q65" s="133">
        <f t="shared" si="18"/>
        <v>77.711869047782216</v>
      </c>
    </row>
    <row r="66" spans="1:17" ht="24.75" customHeight="1" x14ac:dyDescent="0.3">
      <c r="A66" s="76" t="s">
        <v>27</v>
      </c>
      <c r="B66" s="91">
        <v>1188</v>
      </c>
      <c r="C66" s="92">
        <v>4039.8100000000036</v>
      </c>
      <c r="D66" s="103">
        <v>2740.61</v>
      </c>
      <c r="E66" s="91">
        <v>66727</v>
      </c>
      <c r="F66" s="92">
        <v>198567.04400000002</v>
      </c>
      <c r="G66" s="92">
        <v>509753.46</v>
      </c>
      <c r="H66" s="129">
        <f t="shared" si="15"/>
        <v>38.95354511178796</v>
      </c>
      <c r="I66" s="93">
        <v>2232.0980000000004</v>
      </c>
      <c r="J66" s="94">
        <v>2.2686999999999999</v>
      </c>
      <c r="K66" s="94">
        <f t="shared" si="16"/>
        <v>2234.3667000000005</v>
      </c>
      <c r="L66" s="93">
        <v>15382.238676000001</v>
      </c>
      <c r="M66" s="94">
        <v>6328.9238090000008</v>
      </c>
      <c r="N66" s="94">
        <v>6.4881629999999992</v>
      </c>
      <c r="O66" s="80">
        <f t="shared" si="17"/>
        <v>21717.650648000003</v>
      </c>
      <c r="P66" s="94">
        <v>28700.581662000001</v>
      </c>
      <c r="Q66" s="129">
        <f t="shared" si="18"/>
        <v>75.669723017336949</v>
      </c>
    </row>
    <row r="67" spans="1:17" ht="24.75" customHeight="1" x14ac:dyDescent="0.3">
      <c r="A67" s="121" t="s">
        <v>28</v>
      </c>
      <c r="B67" s="130">
        <v>1535</v>
      </c>
      <c r="C67" s="131">
        <v>5453.64</v>
      </c>
      <c r="D67" s="132">
        <v>3806.2990000000004</v>
      </c>
      <c r="E67" s="130">
        <v>97521</v>
      </c>
      <c r="F67" s="131">
        <v>287532.821</v>
      </c>
      <c r="G67" s="131">
        <v>707971.61400000006</v>
      </c>
      <c r="H67" s="133">
        <f t="shared" si="15"/>
        <v>40.613608697593904</v>
      </c>
      <c r="I67" s="134">
        <v>2476.2539999999999</v>
      </c>
      <c r="J67" s="135">
        <v>5.0579999999999989</v>
      </c>
      <c r="K67" s="135">
        <f t="shared" si="16"/>
        <v>2481.3119999999999</v>
      </c>
      <c r="L67" s="134">
        <v>22416.539360999999</v>
      </c>
      <c r="M67" s="135">
        <v>7038.2573060000004</v>
      </c>
      <c r="N67" s="135">
        <v>14.130255999999999</v>
      </c>
      <c r="O67" s="136">
        <f t="shared" si="17"/>
        <v>29468.926922999999</v>
      </c>
      <c r="P67" s="135">
        <v>38130.629715000003</v>
      </c>
      <c r="Q67" s="133">
        <f t="shared" si="18"/>
        <v>77.284133892515754</v>
      </c>
    </row>
    <row r="68" spans="1:17" ht="24.75" customHeight="1" x14ac:dyDescent="0.3">
      <c r="A68" s="76" t="s">
        <v>29</v>
      </c>
      <c r="B68" s="91">
        <v>1469</v>
      </c>
      <c r="C68" s="92">
        <v>5439.4599999999946</v>
      </c>
      <c r="D68" s="103">
        <v>3785.8910000000001</v>
      </c>
      <c r="E68" s="91">
        <v>129688</v>
      </c>
      <c r="F68" s="92">
        <v>367267.08799999999</v>
      </c>
      <c r="G68" s="92">
        <v>704175.72600000002</v>
      </c>
      <c r="H68" s="129">
        <f t="shared" si="15"/>
        <v>52.155601853279443</v>
      </c>
      <c r="I68" s="93">
        <v>2377.6039999999998</v>
      </c>
      <c r="J68" s="94">
        <v>6.32</v>
      </c>
      <c r="K68" s="94">
        <f t="shared" si="16"/>
        <v>2383.924</v>
      </c>
      <c r="L68" s="93">
        <v>25211.864454999999</v>
      </c>
      <c r="M68" s="94">
        <v>6869.4391249999999</v>
      </c>
      <c r="N68" s="94">
        <v>18.365373999999999</v>
      </c>
      <c r="O68" s="80">
        <f t="shared" si="17"/>
        <v>32099.668954000001</v>
      </c>
      <c r="P68" s="94">
        <v>43597.347201999997</v>
      </c>
      <c r="Q68" s="129">
        <f t="shared" si="18"/>
        <v>73.627573726613008</v>
      </c>
    </row>
    <row r="69" spans="1:17" ht="24.75" customHeight="1" x14ac:dyDescent="0.3">
      <c r="A69" s="121" t="s">
        <v>30</v>
      </c>
      <c r="B69" s="130">
        <v>1707</v>
      </c>
      <c r="C69" s="131">
        <v>6498.3299999999963</v>
      </c>
      <c r="D69" s="132">
        <v>4339.71</v>
      </c>
      <c r="E69" s="130">
        <v>184812</v>
      </c>
      <c r="F69" s="131">
        <v>505535.22600000002</v>
      </c>
      <c r="G69" s="131">
        <v>807186.06</v>
      </c>
      <c r="H69" s="133">
        <f t="shared" si="15"/>
        <v>62.629330590768632</v>
      </c>
      <c r="I69" s="134">
        <v>2141.8159999999998</v>
      </c>
      <c r="J69" s="135">
        <v>7.2299999999999995</v>
      </c>
      <c r="K69" s="135">
        <f t="shared" si="16"/>
        <v>2149.0459999999998</v>
      </c>
      <c r="L69" s="134">
        <v>32782.447185999998</v>
      </c>
      <c r="M69" s="135">
        <v>6175.6908700000004</v>
      </c>
      <c r="N69" s="135">
        <v>20.536926999999999</v>
      </c>
      <c r="O69" s="136">
        <f t="shared" si="17"/>
        <v>38978.674982999997</v>
      </c>
      <c r="P69" s="135">
        <v>51258.571011</v>
      </c>
      <c r="Q69" s="133">
        <f t="shared" si="18"/>
        <v>76.043233773792167</v>
      </c>
    </row>
    <row r="70" spans="1:17" ht="24.75" customHeight="1" x14ac:dyDescent="0.3">
      <c r="A70" s="76" t="s">
        <v>31</v>
      </c>
      <c r="B70" s="91">
        <v>2159</v>
      </c>
      <c r="C70" s="92">
        <v>8028.3400000000038</v>
      </c>
      <c r="D70" s="103">
        <v>5230.3230000000003</v>
      </c>
      <c r="E70" s="91">
        <v>242669</v>
      </c>
      <c r="F70" s="92">
        <v>637528.24300000002</v>
      </c>
      <c r="G70" s="92">
        <v>972840.07799999998</v>
      </c>
      <c r="H70" s="129">
        <f t="shared" si="15"/>
        <v>65.532686966459465</v>
      </c>
      <c r="I70" s="93">
        <v>2208.4560000000001</v>
      </c>
      <c r="J70" s="94">
        <v>9.34</v>
      </c>
      <c r="K70" s="94">
        <f t="shared" si="16"/>
        <v>2217.7960000000003</v>
      </c>
      <c r="L70" s="93">
        <v>40900.167678000005</v>
      </c>
      <c r="M70" s="94">
        <v>6341.183043</v>
      </c>
      <c r="N70" s="94">
        <v>27.547031999999998</v>
      </c>
      <c r="O70" s="80">
        <f t="shared" si="17"/>
        <v>47268.897753000005</v>
      </c>
      <c r="P70" s="94">
        <v>60480.806895000002</v>
      </c>
      <c r="Q70" s="129">
        <f t="shared" si="18"/>
        <v>78.155203575678087</v>
      </c>
    </row>
    <row r="71" spans="1:17" ht="24.75" customHeight="1" x14ac:dyDescent="0.3">
      <c r="A71" s="121" t="s">
        <v>32</v>
      </c>
      <c r="B71" s="130">
        <v>2208</v>
      </c>
      <c r="C71" s="131">
        <v>8582.29000000001</v>
      </c>
      <c r="D71" s="132">
        <v>5739.7160000000003</v>
      </c>
      <c r="E71" s="130">
        <v>257211</v>
      </c>
      <c r="F71" s="131">
        <v>694248.98600000003</v>
      </c>
      <c r="G71" s="131">
        <v>1067587.176</v>
      </c>
      <c r="H71" s="133">
        <f t="shared" si="15"/>
        <v>65.029723249504457</v>
      </c>
      <c r="I71" s="134">
        <v>2030.019</v>
      </c>
      <c r="J71" s="135">
        <v>4.3089999999999993</v>
      </c>
      <c r="K71" s="135">
        <f t="shared" si="16"/>
        <v>2034.328</v>
      </c>
      <c r="L71" s="134">
        <v>44739.749667000004</v>
      </c>
      <c r="M71" s="135">
        <v>5791.1926030000004</v>
      </c>
      <c r="N71" s="135">
        <v>12.900651</v>
      </c>
      <c r="O71" s="136">
        <f t="shared" si="17"/>
        <v>50543.84292100001</v>
      </c>
      <c r="P71" s="135">
        <v>64197.361836000004</v>
      </c>
      <c r="Q71" s="133">
        <f t="shared" si="18"/>
        <v>78.731962615723091</v>
      </c>
    </row>
    <row r="72" spans="1:17" ht="24.75" customHeight="1" x14ac:dyDescent="0.3">
      <c r="A72" s="76" t="s">
        <v>33</v>
      </c>
      <c r="B72" s="109">
        <v>2320</v>
      </c>
      <c r="C72" s="110">
        <v>9040.2100000000082</v>
      </c>
      <c r="D72" s="111">
        <v>6051.9719999999998</v>
      </c>
      <c r="E72" s="109">
        <v>308609</v>
      </c>
      <c r="F72" s="110">
        <v>841002.34100000001</v>
      </c>
      <c r="G72" s="110">
        <v>1125666.7919999999</v>
      </c>
      <c r="H72" s="112">
        <f t="shared" si="15"/>
        <v>74.711481850305844</v>
      </c>
      <c r="I72" s="113">
        <v>1900.2270000000001</v>
      </c>
      <c r="J72" s="114">
        <v>5.4089999999999998</v>
      </c>
      <c r="K72" s="114">
        <f t="shared" si="16"/>
        <v>1905.6360000000002</v>
      </c>
      <c r="L72" s="113">
        <v>53433.082226000006</v>
      </c>
      <c r="M72" s="114">
        <v>5378.4979990000002</v>
      </c>
      <c r="N72" s="114">
        <v>15.812550999999999</v>
      </c>
      <c r="O72" s="112">
        <f t="shared" si="17"/>
        <v>58827.392776000008</v>
      </c>
      <c r="P72" s="114">
        <v>74502.838497999997</v>
      </c>
      <c r="Q72" s="112">
        <f t="shared" si="18"/>
        <v>78.95993489909678</v>
      </c>
    </row>
    <row r="73" spans="1:17" ht="24.75" customHeight="1" x14ac:dyDescent="0.3">
      <c r="A73" s="137" t="s">
        <v>34</v>
      </c>
      <c r="B73" s="138">
        <f t="shared" ref="B73:G73" si="19">SUM(B61:B72)</f>
        <v>20464</v>
      </c>
      <c r="C73" s="138">
        <f t="shared" si="19"/>
        <v>75990.810000000041</v>
      </c>
      <c r="D73" s="138">
        <f t="shared" si="19"/>
        <v>51931.167999999998</v>
      </c>
      <c r="E73" s="138">
        <f t="shared" si="19"/>
        <v>2103621</v>
      </c>
      <c r="F73" s="138">
        <f t="shared" si="19"/>
        <v>5788865.8379999995</v>
      </c>
      <c r="G73" s="138">
        <f t="shared" si="19"/>
        <v>9659197.2479999997</v>
      </c>
      <c r="H73" s="139">
        <f t="shared" si="15"/>
        <v>59.931127705240947</v>
      </c>
      <c r="I73" s="140">
        <f>SUM(I61:I72)</f>
        <v>23444.021999999997</v>
      </c>
      <c r="J73" s="140">
        <f>SUM(J61:J72)</f>
        <v>56.665699999999994</v>
      </c>
      <c r="K73" s="140">
        <f t="shared" si="16"/>
        <v>23500.687699999999</v>
      </c>
      <c r="L73" s="140">
        <f>SUM(L61:L72)</f>
        <v>403753.29193500004</v>
      </c>
      <c r="M73" s="140">
        <f>SUM(M61:M72)</f>
        <v>67513.876659999994</v>
      </c>
      <c r="N73" s="140">
        <f>SUM(N61:N72)</f>
        <v>166.40044900000004</v>
      </c>
      <c r="O73" s="140">
        <f t="shared" si="17"/>
        <v>471433.56904400006</v>
      </c>
      <c r="P73" s="140">
        <f>SUM(P61:P72)</f>
        <v>605758.84664799995</v>
      </c>
      <c r="Q73" s="139">
        <f t="shared" si="18"/>
        <v>77.825288339196987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7" spans="1:17" ht="24" customHeight="1" x14ac:dyDescent="0.3">
      <c r="A77" s="172" t="s">
        <v>42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5">
    <mergeCell ref="A77:Q7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2022-02-17T11:33:21Z</dcterms:created>
  <dcterms:modified xsi:type="dcterms:W3CDTF">2022-02-22T10:24:27Z</dcterms:modified>
</cp:coreProperties>
</file>