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LLIANCE AIR (NATIONAL)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1" l="1"/>
  <c r="Q12" i="1"/>
  <c r="Q11" i="1"/>
  <c r="Q10" i="1"/>
  <c r="Q9" i="1"/>
  <c r="Q8" i="1"/>
  <c r="Q7" i="1"/>
  <c r="Q6" i="1"/>
  <c r="H13" i="1"/>
  <c r="H12" i="1"/>
  <c r="H11" i="1"/>
  <c r="H10" i="1"/>
  <c r="H9" i="1"/>
  <c r="H8" i="1"/>
  <c r="H7" i="1"/>
  <c r="H6" i="1"/>
  <c r="P18" i="1" l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8" i="1" l="1"/>
</calcChain>
</file>

<file path=xl/sharedStrings.xml><?xml version="1.0" encoding="utf-8"?>
<sst xmlns="http://schemas.openxmlformats.org/spreadsheetml/2006/main" count="26" uniqueCount="24">
  <si>
    <t xml:space="preserve">तालिका - 1.02 (एलाइंस एयर) </t>
  </si>
  <si>
    <t>Table 1.02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</si>
  <si>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</si>
  <si>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</si>
  <si>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</si>
  <si>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</si>
  <si>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</si>
  <si>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</si>
  <si>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</si>
  <si>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</si>
  <si>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</si>
  <si>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</si>
  <si>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</si>
  <si>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</si>
  <si>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</si>
  <si>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</si>
  <si>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</si>
  <si>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</si>
  <si>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</si>
  <si>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</si>
  <si>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</si>
  <si>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</si>
  <si>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MONTHLY TRAFFIC AND OPERATING STATISTICS OF ALLIANCE AIR ON SCHEDULED INTERNATIONAL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</si>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</sst>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[$-409]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2" fillId="3" borderId="1" xfId="3" applyNumberFormat="1" applyFont="1" applyBorder="1" applyAlignment="1">
      <alignment horizontal="center" vertical="center"/>
    </xf>
    <xf numFmtId="166" fontId="1" fillId="3" borderId="1" xfId="3" applyNumberForma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66" fontId="2" fillId="3" borderId="1" xfId="3" applyNumberFormat="1" applyFont="1" applyBorder="1" applyAlignment="1">
      <alignment horizontal="center" vertical="center"/>
    </xf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67" fontId="1" fillId="3" borderId="1" xfId="3" applyNumberFormat="1" applyBorder="1" applyAlignment="1" applyProtection="1">
      <alignment horizontal="center" vertical="center" wrapText="1"/>
    </xf>
    <xf numFmtId="167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2" xfId="0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 applyProtection="1">
      <alignment horizontal="left" vertical="center" wrapText="1"/>
    </xf>
    <xf numFmtId="0" fontId="6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96" zoomScaleSheetLayoutView="100" workbookViewId="0">
      <selection activeCell="E9" sqref="E9"/>
    </sheetView>
  </sheetViews>
  <sheetFormatPr defaultRowHeight="15" x14ac:dyDescent="0.25"/>
  <cols>
    <col min="1" max="1" width="13.85546875" customWidth="1"/>
    <col min="2" max="4" width="7.42578125" customWidth="1"/>
    <col min="5" max="5" width="9.5703125" customWidth="1"/>
    <col min="6" max="17" width="7.42578125" customWidth="1"/>
  </cols>
  <sheetData>
    <row r="1" spans="1:17" ht="19.149999999999999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9.149999999999999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9.149999999999999" customHeight="1" x14ac:dyDescent="0.25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8.450000000000003" customHeight="1" x14ac:dyDescent="0.25">
      <c r="A4" s="21" t="s">
        <v>2</v>
      </c>
      <c r="B4" s="21" t="s">
        <v>3</v>
      </c>
      <c r="C4" s="21"/>
      <c r="D4" s="21"/>
      <c r="E4" s="21" t="s">
        <v>4</v>
      </c>
      <c r="F4" s="22"/>
      <c r="G4" s="13" t="s">
        <v>5</v>
      </c>
      <c r="H4" s="13" t="s">
        <v>6</v>
      </c>
      <c r="I4" s="21" t="s">
        <v>7</v>
      </c>
      <c r="J4" s="21"/>
      <c r="K4" s="21"/>
      <c r="L4" s="21" t="s">
        <v>8</v>
      </c>
      <c r="M4" s="21"/>
      <c r="N4" s="21"/>
      <c r="O4" s="21"/>
      <c r="P4" s="13" t="s">
        <v>9</v>
      </c>
      <c r="Q4" s="13" t="s">
        <v>10</v>
      </c>
    </row>
    <row r="5" spans="1:17" ht="97.9" customHeight="1" x14ac:dyDescent="0.25">
      <c r="A5" s="21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14"/>
      <c r="H5" s="14"/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17</v>
      </c>
      <c r="O5" s="4" t="s">
        <v>18</v>
      </c>
      <c r="P5" s="14"/>
      <c r="Q5" s="14"/>
    </row>
    <row r="6" spans="1:17" ht="19.149999999999999" customHeight="1" x14ac:dyDescent="0.25">
      <c r="A6" s="11">
        <v>45383</v>
      </c>
      <c r="B6" s="1">
        <v>60</v>
      </c>
      <c r="C6" s="1">
        <v>76</v>
      </c>
      <c r="D6" s="1">
        <v>21.24</v>
      </c>
      <c r="E6" s="6">
        <v>3144</v>
      </c>
      <c r="F6" s="1">
        <v>1.1129760000000002</v>
      </c>
      <c r="G6" s="1">
        <v>1.33812</v>
      </c>
      <c r="H6" s="1">
        <f t="shared" ref="H6:H13" si="0">F6/G6*100</f>
        <v>83.174603174603192</v>
      </c>
      <c r="I6" s="1">
        <v>0</v>
      </c>
      <c r="J6" s="1">
        <v>0</v>
      </c>
      <c r="K6" s="1">
        <v>0</v>
      </c>
      <c r="L6" s="9">
        <v>0.10684569999999999</v>
      </c>
      <c r="M6" s="9">
        <v>0</v>
      </c>
      <c r="N6" s="9">
        <v>0</v>
      </c>
      <c r="O6" s="9">
        <v>0.10684569999999999</v>
      </c>
      <c r="P6" s="9">
        <v>0.14443199999999998</v>
      </c>
      <c r="Q6" s="1">
        <f t="shared" ref="Q6:Q13" si="1">O6/P6*100</f>
        <v>73.976473357704663</v>
      </c>
    </row>
    <row r="7" spans="1:17" ht="19.149999999999999" customHeight="1" x14ac:dyDescent="0.25">
      <c r="A7" s="12">
        <v>45413</v>
      </c>
      <c r="B7" s="2">
        <v>62</v>
      </c>
      <c r="C7" s="2">
        <v>75</v>
      </c>
      <c r="D7" s="2">
        <v>21.948</v>
      </c>
      <c r="E7" s="7">
        <v>2941</v>
      </c>
      <c r="F7" s="2">
        <v>1.0411140000000001</v>
      </c>
      <c r="G7" s="2">
        <v>1.3827239999999998</v>
      </c>
      <c r="H7" s="2">
        <f t="shared" si="0"/>
        <v>75.294418842805953</v>
      </c>
      <c r="I7" s="2">
        <v>0</v>
      </c>
      <c r="J7" s="2">
        <v>0</v>
      </c>
      <c r="K7" s="2">
        <v>0</v>
      </c>
      <c r="L7" s="10">
        <v>9.9946943999999982E-2</v>
      </c>
      <c r="M7" s="10">
        <v>0</v>
      </c>
      <c r="N7" s="10">
        <v>0</v>
      </c>
      <c r="O7" s="10">
        <v>9.9946943999999982E-2</v>
      </c>
      <c r="P7" s="10">
        <v>0.1492464</v>
      </c>
      <c r="Q7" s="2">
        <f t="shared" si="1"/>
        <v>66.967741935483858</v>
      </c>
    </row>
    <row r="8" spans="1:17" ht="19.149999999999999" customHeight="1" x14ac:dyDescent="0.25">
      <c r="A8" s="11">
        <v>45444</v>
      </c>
      <c r="B8" s="1">
        <v>60</v>
      </c>
      <c r="C8" s="1">
        <v>73</v>
      </c>
      <c r="D8" s="1">
        <v>21.24</v>
      </c>
      <c r="E8" s="6">
        <v>3147</v>
      </c>
      <c r="F8" s="1">
        <v>1.1140380000000001</v>
      </c>
      <c r="G8" s="1">
        <v>1.33812</v>
      </c>
      <c r="H8" s="1">
        <f t="shared" si="0"/>
        <v>83.253968253968253</v>
      </c>
      <c r="I8" s="1">
        <v>0</v>
      </c>
      <c r="J8" s="1">
        <v>0</v>
      </c>
      <c r="K8" s="1">
        <v>0</v>
      </c>
      <c r="L8" s="9">
        <v>0.10694759999999999</v>
      </c>
      <c r="M8" s="9">
        <v>0</v>
      </c>
      <c r="N8" s="9">
        <v>0</v>
      </c>
      <c r="O8" s="9">
        <v>0.10694759999999999</v>
      </c>
      <c r="P8" s="9">
        <v>0.14443199999999998</v>
      </c>
      <c r="Q8" s="1">
        <f t="shared" si="1"/>
        <v>74.047025589896975</v>
      </c>
    </row>
    <row r="9" spans="1:17" ht="19.149999999999999" customHeight="1" x14ac:dyDescent="0.25">
      <c r="A9" s="12">
        <v>45474</v>
      </c>
      <c r="B9" s="2">
        <v>60</v>
      </c>
      <c r="C9" s="2">
        <v>75</v>
      </c>
      <c r="D9" s="2">
        <v>21.24</v>
      </c>
      <c r="E9" s="7">
        <v>3432</v>
      </c>
      <c r="F9" s="2">
        <v>1.214928</v>
      </c>
      <c r="G9" s="2">
        <v>1.33812</v>
      </c>
      <c r="H9" s="2">
        <f t="shared" si="0"/>
        <v>90.793650793650798</v>
      </c>
      <c r="I9" s="2">
        <v>0</v>
      </c>
      <c r="J9" s="2"/>
      <c r="K9" s="2">
        <v>0</v>
      </c>
      <c r="L9" s="10">
        <v>0.1166331</v>
      </c>
      <c r="M9" s="10">
        <v>0</v>
      </c>
      <c r="N9" s="10">
        <v>0</v>
      </c>
      <c r="O9" s="10">
        <v>0.1166331</v>
      </c>
      <c r="P9" s="10">
        <v>0.14443199999999998</v>
      </c>
      <c r="Q9" s="2">
        <f t="shared" si="1"/>
        <v>80.752949484878712</v>
      </c>
    </row>
    <row r="10" spans="1:17" ht="19.149999999999999" customHeight="1" x14ac:dyDescent="0.25">
      <c r="A10" s="11">
        <v>45505</v>
      </c>
      <c r="B10" s="1">
        <v>60</v>
      </c>
      <c r="C10" s="1">
        <v>74</v>
      </c>
      <c r="D10" s="1">
        <v>21.24</v>
      </c>
      <c r="E10" s="6">
        <v>3178</v>
      </c>
      <c r="F10" s="1">
        <v>1.1250119999999999</v>
      </c>
      <c r="G10" s="1">
        <v>1.3391820000000001</v>
      </c>
      <c r="H10" s="1">
        <f t="shared" si="0"/>
        <v>84.007401533174715</v>
      </c>
      <c r="I10" s="1"/>
      <c r="J10" s="1"/>
      <c r="K10" s="1">
        <v>0</v>
      </c>
      <c r="L10" s="9">
        <v>0.108001152</v>
      </c>
      <c r="M10" s="9">
        <v>0</v>
      </c>
      <c r="N10" s="9">
        <v>0</v>
      </c>
      <c r="O10" s="9">
        <v>0.108001152</v>
      </c>
      <c r="P10" s="9">
        <v>0.14443199999999998</v>
      </c>
      <c r="Q10" s="1">
        <f t="shared" si="1"/>
        <v>74.776470588235313</v>
      </c>
    </row>
    <row r="11" spans="1:17" ht="19.149999999999999" customHeight="1" x14ac:dyDescent="0.25">
      <c r="A11" s="12">
        <v>45536</v>
      </c>
      <c r="B11" s="2">
        <v>42</v>
      </c>
      <c r="C11" s="2">
        <v>52</v>
      </c>
      <c r="D11" s="2">
        <v>14.868</v>
      </c>
      <c r="E11" s="7">
        <v>1102</v>
      </c>
      <c r="F11" s="2">
        <v>0.39010800000000001</v>
      </c>
      <c r="G11" s="2">
        <v>1.00359</v>
      </c>
      <c r="H11" s="2">
        <f t="shared" si="0"/>
        <v>38.871252204585538</v>
      </c>
      <c r="I11" s="2">
        <v>0</v>
      </c>
      <c r="J11" s="2"/>
      <c r="K11" s="2">
        <v>0</v>
      </c>
      <c r="L11" s="10">
        <v>3.7450368000000005E-2</v>
      </c>
      <c r="M11" s="10">
        <v>0</v>
      </c>
      <c r="N11" s="10">
        <v>0</v>
      </c>
      <c r="O11" s="10">
        <v>3.7450368000000005E-2</v>
      </c>
      <c r="P11" s="10">
        <v>0.1011024</v>
      </c>
      <c r="Q11" s="2">
        <f t="shared" si="1"/>
        <v>37.042016806722692</v>
      </c>
    </row>
    <row r="12" spans="1:17" ht="19.149999999999999" customHeight="1" x14ac:dyDescent="0.25">
      <c r="A12" s="11">
        <v>45566</v>
      </c>
      <c r="B12" s="1">
        <v>16</v>
      </c>
      <c r="C12" s="1">
        <v>20</v>
      </c>
      <c r="D12" s="1">
        <v>5.6639999999999997</v>
      </c>
      <c r="E12" s="6">
        <v>299</v>
      </c>
      <c r="F12" s="1">
        <v>0.10584600000000001</v>
      </c>
      <c r="G12" s="1">
        <v>0.38586000000000004</v>
      </c>
      <c r="H12" s="1">
        <f t="shared" si="0"/>
        <v>27.431192660550458</v>
      </c>
      <c r="I12" s="1">
        <v>0</v>
      </c>
      <c r="J12" s="1"/>
      <c r="K12" s="1">
        <v>0</v>
      </c>
      <c r="L12" s="9">
        <v>1.0161215999999999E-2</v>
      </c>
      <c r="M12" s="9">
        <v>0</v>
      </c>
      <c r="N12" s="9">
        <v>0</v>
      </c>
      <c r="O12" s="9">
        <v>1.0161215999999999E-2</v>
      </c>
      <c r="P12" s="9">
        <v>3.8515199999999999E-2</v>
      </c>
      <c r="Q12" s="1">
        <f t="shared" si="1"/>
        <v>26.382352941176467</v>
      </c>
    </row>
    <row r="13" spans="1:17" ht="19.149999999999999" customHeight="1" x14ac:dyDescent="0.25">
      <c r="A13" s="12">
        <v>45597</v>
      </c>
      <c r="B13" s="2">
        <v>6</v>
      </c>
      <c r="C13" s="2">
        <v>7</v>
      </c>
      <c r="D13" s="2">
        <v>2.1240000000000001</v>
      </c>
      <c r="E13" s="7">
        <v>105</v>
      </c>
      <c r="F13" s="2">
        <v>3.7170000000000002E-2</v>
      </c>
      <c r="G13" s="2">
        <v>0.14868000000000001</v>
      </c>
      <c r="H13" s="2">
        <f t="shared" si="0"/>
        <v>25</v>
      </c>
      <c r="I13" s="2">
        <v>0</v>
      </c>
      <c r="J13" s="2">
        <v>0</v>
      </c>
      <c r="K13" s="2">
        <v>0</v>
      </c>
      <c r="L13" s="10">
        <v>3.5682999999999999E-3</v>
      </c>
      <c r="M13" s="10">
        <v>0</v>
      </c>
      <c r="N13" s="10">
        <v>0</v>
      </c>
      <c r="O13" s="10">
        <v>3.5682999999999999E-3</v>
      </c>
      <c r="P13" s="10">
        <v>1.4124599999999999E-2</v>
      </c>
      <c r="Q13" s="2">
        <f t="shared" si="1"/>
        <v>25.263016297806661</v>
      </c>
    </row>
    <row r="14" spans="1:17" ht="19.149999999999999" customHeight="1" x14ac:dyDescent="0.25">
      <c r="A14" s="11">
        <v>45627</v>
      </c>
      <c r="B14" s="1"/>
      <c r="C14" s="1"/>
      <c r="D14" s="1"/>
      <c r="E14" s="6"/>
      <c r="F14" s="1"/>
      <c r="G14" s="1"/>
      <c r="H14" s="1"/>
      <c r="I14" s="1">
        <v>0</v>
      </c>
      <c r="J14" s="1">
        <v>0</v>
      </c>
      <c r="K14" s="1">
        <v>0</v>
      </c>
      <c r="L14" s="9"/>
      <c r="M14" s="9"/>
      <c r="N14" s="9"/>
      <c r="O14" s="9"/>
      <c r="P14" s="9"/>
      <c r="Q14" s="1"/>
    </row>
    <row r="15" spans="1:17" ht="19.149999999999999" customHeight="1" x14ac:dyDescent="0.25">
      <c r="A15" s="12">
        <v>45658</v>
      </c>
      <c r="B15" s="2"/>
      <c r="C15" s="2"/>
      <c r="D15" s="2"/>
      <c r="E15" s="7"/>
      <c r="F15" s="2"/>
      <c r="G15" s="2"/>
      <c r="H15" s="2"/>
      <c r="I15" s="2">
        <v>0</v>
      </c>
      <c r="J15" s="2">
        <v>0</v>
      </c>
      <c r="K15" s="2">
        <v>0</v>
      </c>
      <c r="L15" s="10"/>
      <c r="M15" s="10"/>
      <c r="N15" s="10"/>
      <c r="O15" s="10"/>
      <c r="P15" s="10"/>
      <c r="Q15" s="2"/>
    </row>
    <row r="16" spans="1:17" ht="19.149999999999999" customHeight="1" x14ac:dyDescent="0.25">
      <c r="A16" s="11">
        <v>45689</v>
      </c>
      <c r="B16" s="1"/>
      <c r="C16" s="1"/>
      <c r="D16" s="1"/>
      <c r="E16" s="6"/>
      <c r="F16" s="1"/>
      <c r="G16" s="1"/>
      <c r="H16" s="1"/>
      <c r="I16" s="1">
        <v>0</v>
      </c>
      <c r="J16" s="1">
        <v>0</v>
      </c>
      <c r="K16" s="1">
        <v>0</v>
      </c>
      <c r="L16" s="9"/>
      <c r="M16" s="9"/>
      <c r="N16" s="9"/>
      <c r="O16" s="9"/>
      <c r="P16" s="9"/>
      <c r="Q16" s="1"/>
    </row>
    <row r="17" spans="1:17" ht="19.149999999999999" customHeight="1" x14ac:dyDescent="0.25">
      <c r="A17" s="12">
        <v>45717</v>
      </c>
      <c r="B17" s="2"/>
      <c r="C17" s="2"/>
      <c r="D17" s="2"/>
      <c r="E17" s="7"/>
      <c r="F17" s="2"/>
      <c r="G17" s="2"/>
      <c r="H17" s="2"/>
      <c r="I17" s="2">
        <v>0</v>
      </c>
      <c r="J17" s="2">
        <v>0</v>
      </c>
      <c r="K17" s="2">
        <v>0</v>
      </c>
      <c r="L17" s="10"/>
      <c r="M17" s="10"/>
      <c r="N17" s="10"/>
      <c r="O17" s="10"/>
      <c r="P17" s="10"/>
      <c r="Q17" s="2"/>
    </row>
    <row r="18" spans="1:17" ht="19.149999999999999" customHeight="1" x14ac:dyDescent="0.25">
      <c r="A18" s="3" t="s">
        <v>23</v>
      </c>
      <c r="B18" s="5">
        <f>SUM(B6:B17)</f>
        <v>366</v>
      </c>
      <c r="C18" s="5">
        <f t="shared" ref="C18:G18" si="2">SUM(C6:C17)</f>
        <v>452</v>
      </c>
      <c r="D18" s="5">
        <f t="shared" si="2"/>
        <v>129.56399999999999</v>
      </c>
      <c r="E18" s="8">
        <f t="shared" si="2"/>
        <v>17348</v>
      </c>
      <c r="F18" s="5">
        <f t="shared" si="2"/>
        <v>6.1411919999999984</v>
      </c>
      <c r="G18" s="5">
        <f t="shared" si="2"/>
        <v>8.2743959999999994</v>
      </c>
      <c r="H18" s="5">
        <f>F18/G18*100</f>
        <v>74.219217934457077</v>
      </c>
      <c r="I18" s="5">
        <f t="shared" ref="I18" si="3">SUM(I6:I17)</f>
        <v>0</v>
      </c>
      <c r="J18" s="5">
        <f t="shared" ref="J18:P18" si="4">SUM(J6:J17)</f>
        <v>0</v>
      </c>
      <c r="K18" s="5">
        <f t="shared" si="4"/>
        <v>0</v>
      </c>
      <c r="L18" s="5">
        <f t="shared" si="4"/>
        <v>0.58955437999999993</v>
      </c>
      <c r="M18" s="5">
        <f t="shared" si="4"/>
        <v>0</v>
      </c>
      <c r="N18" s="5">
        <f t="shared" si="4"/>
        <v>0</v>
      </c>
      <c r="O18" s="5">
        <f t="shared" si="4"/>
        <v>0.58955437999999993</v>
      </c>
      <c r="P18" s="5">
        <f t="shared" si="4"/>
        <v>0.88071660000000007</v>
      </c>
      <c r="Q18" s="5">
        <f t="shared" ref="Q14:Q18" si="5">O18/P18*100</f>
        <v>66.940305201468888</v>
      </c>
    </row>
    <row r="19" spans="1:17" ht="19.149999999999999" customHeight="1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2022-04-25T11:51:31Z</cp:lastPrinted>
  <dcterms:created xsi:type="dcterms:W3CDTF">2020-05-22T09:06:28Z</dcterms:created>
  <dcterms:modified xsi:type="dcterms:W3CDTF">2025-11-10T09:05:30Z</dcterms:modified>
</cp:coreProperties>
</file>