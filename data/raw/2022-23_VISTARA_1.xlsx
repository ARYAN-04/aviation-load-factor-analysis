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VISTARA\"/>
    </mc:Choice>
  </mc:AlternateContent>
  <bookViews>
    <workbookView xWindow="0" yWindow="0" windowWidth="24000" windowHeight="9435"/>
  </bookViews>
  <sheets>
    <sheet name="VISTARA" sheetId="16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" i="16" l="1"/>
  <c r="H7" i="16"/>
  <c r="H8" i="16"/>
  <c r="H9" i="16"/>
  <c r="H10" i="16"/>
  <c r="H11" i="16"/>
  <c r="H12" i="16"/>
  <c r="H13" i="16"/>
  <c r="H14" i="16"/>
  <c r="H15" i="16"/>
  <c r="H16" i="16"/>
  <c r="Q6" i="16" l="1"/>
  <c r="Q8" i="16" l="1"/>
  <c r="Q9" i="16"/>
  <c r="Q10" i="16"/>
  <c r="Q17" i="16"/>
  <c r="Q11" i="16"/>
  <c r="Q12" i="16"/>
  <c r="Q13" i="16"/>
  <c r="Q14" i="16"/>
  <c r="Q15" i="16"/>
  <c r="Q16" i="16"/>
  <c r="Q7" i="16"/>
  <c r="H17" i="16" l="1"/>
  <c r="I18" i="16" l="1"/>
  <c r="C18" i="16"/>
  <c r="B18" i="16"/>
  <c r="P18" i="16"/>
  <c r="O18" i="16"/>
  <c r="N18" i="16"/>
  <c r="M18" i="16"/>
  <c r="L18" i="16"/>
  <c r="K18" i="16"/>
  <c r="J18" i="16"/>
  <c r="G18" i="16"/>
  <c r="F18" i="16"/>
  <c r="E18" i="16"/>
  <c r="D18" i="16"/>
  <c r="Q18" i="16" l="1"/>
  <c r="H18" i="16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<sst xmlns="http://schemas.openxmlformats.org/spreadsheetml/2006/main" count="26" uniqueCount="24">
  <si>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</si>
  <si>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</si>
  <si>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</si>
  <si>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</si>
  <si>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</si>
  <si>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</si>
  <si>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</si>
  <si>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</si>
  <si>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</si>
  <si>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</si>
  <si>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</si>
  <si>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</si>
  <si>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</si>
  <si>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</si>
  <si>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</si>
  <si>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</si>
  <si>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</si>
  <si>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</si>
  <si>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</si>
  <si>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(विस्तारा) </t>
  </si>
  <si>
    <t>Table 1.01 (VISTARA)</t>
  </si>
  <si>
    <t>SOURCE:-  ICAO ATR FORM 'A' FURNISHED BY VISTARA</t>
  </si>
  <si>
    <t>MONTHLY TRAFFIC AND OPERATING STATISTICS OF VISTARA ON SCHEDULED DOMESTIC SERVICES DURING 2022-23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</si>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</sst>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\ 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</cellStyleXfs>
  <cellXfs count="25">
    <xf numFmtId="0" fontId="0" fillId="0" borderId="0" xfId="0"/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6" fontId="0" fillId="4" borderId="1" xfId="3" applyNumberFormat="1" applyFont="1" applyBorder="1" applyAlignment="1">
      <alignment horizontal="right" vertical="center"/>
    </xf>
    <xf numFmtId="166" fontId="0" fillId="4" borderId="1" xfId="3" applyNumberFormat="1" applyFont="1" applyBorder="1" applyAlignment="1">
      <alignment horizontal="center" vertical="center"/>
    </xf>
    <xf numFmtId="166" fontId="3" fillId="5" borderId="1" xfId="3" applyNumberFormat="1" applyFill="1" applyBorder="1" applyAlignment="1">
      <alignment horizontal="right" vertical="center"/>
    </xf>
    <xf numFmtId="166" fontId="0" fillId="6" borderId="1" xfId="1" applyNumberFormat="1" applyFont="1" applyFill="1" applyBorder="1" applyAlignment="1">
      <alignment horizontal="right" vertical="center"/>
    </xf>
    <xf numFmtId="168" fontId="3" fillId="6" borderId="1" xfId="4" applyNumberFormat="1" applyFill="1" applyBorder="1" applyAlignment="1">
      <alignment horizontal="center" vertical="center"/>
    </xf>
    <xf numFmtId="0" fontId="4" fillId="6" borderId="1" xfId="4" applyFont="1" applyFill="1" applyBorder="1" applyAlignment="1" applyProtection="1">
      <alignment horizontal="center" vertical="center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0" fontId="1" fillId="2" borderId="0" xfId="0" applyFont="1" applyFill="1" applyBorder="1" applyAlignment="1" applyProtection="1">
      <alignment horizontal="left" vertical="center" wrapText="1"/>
    </xf>
  </cellXfs>
  <cellStyles count="5">
    <cellStyle name="40% - Accent1" xfId="4" builtinId="31"/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topLeftCell="A7" zoomScale="98" zoomScaleNormal="98" workbookViewId="0">
      <selection activeCell="F23" sqref="F23"/>
    </sheetView>
  </sheetViews>
  <sheetFormatPr defaultRowHeight="15" x14ac:dyDescent="0.25"/>
  <cols>
    <col min="1" max="1" width="15" customWidth="1"/>
    <col min="2" max="2" width="7.28515625" customWidth="1"/>
    <col min="3" max="3" width="8.140625" customWidth="1"/>
    <col min="4" max="4" width="7.42578125" customWidth="1"/>
    <col min="5" max="5" width="11.140625" customWidth="1"/>
    <col min="6" max="6" width="10.140625" customWidth="1"/>
    <col min="7" max="7" width="9.42578125" customWidth="1"/>
    <col min="8" max="8" width="6.7109375" customWidth="1"/>
    <col min="10" max="10" width="7.42578125" customWidth="1"/>
    <col min="12" max="12" width="9.7109375" customWidth="1"/>
    <col min="13" max="13" width="8.140625" customWidth="1"/>
    <col min="14" max="14" width="6.28515625" customWidth="1"/>
    <col min="15" max="15" width="10.42578125" customWidth="1"/>
    <col min="16" max="16" width="9.42578125" customWidth="1"/>
    <col min="17" max="17" width="6.85546875" customWidth="1"/>
  </cols>
  <sheetData>
    <row r="1" spans="1:17" x14ac:dyDescent="0.25">
      <c r="A1" s="19" t="s">
        <v>19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5">
      <c r="A2" s="20" t="s">
        <v>20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x14ac:dyDescent="0.25">
      <c r="A3" s="22" t="s">
        <v>22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28.9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4" t="s">
        <v>3</v>
      </c>
      <c r="H4" s="14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4" t="s">
        <v>7</v>
      </c>
      <c r="Q4" s="14" t="s">
        <v>8</v>
      </c>
    </row>
    <row r="5" spans="1:17" ht="107.25" customHeight="1" x14ac:dyDescent="0.25">
      <c r="A5" s="22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5"/>
      <c r="H5" s="15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5"/>
      <c r="Q5" s="15"/>
    </row>
    <row r="6" spans="1:17" x14ac:dyDescent="0.25">
      <c r="A6" s="12">
        <v>44652</v>
      </c>
      <c r="B6" s="1">
        <v>6492</v>
      </c>
      <c r="C6" s="1">
        <v>10677.35</v>
      </c>
      <c r="D6" s="1">
        <v>7273.8990000000003</v>
      </c>
      <c r="E6" s="1">
        <v>904428</v>
      </c>
      <c r="F6" s="1">
        <v>1020.302203</v>
      </c>
      <c r="G6" s="1">
        <v>1230.6683680000001</v>
      </c>
      <c r="H6" s="9">
        <f t="shared" ref="H6:H18" si="0">F6/G6*100</f>
        <v>82.906348251895579</v>
      </c>
      <c r="I6" s="4">
        <v>4675.509</v>
      </c>
      <c r="J6" s="4">
        <v>404.00295</v>
      </c>
      <c r="K6" s="4">
        <v>5079.5119500000001</v>
      </c>
      <c r="L6" s="4">
        <v>91.827198270000068</v>
      </c>
      <c r="M6" s="4">
        <v>6.0399788230000011</v>
      </c>
      <c r="N6" s="4">
        <v>0.50284881702000039</v>
      </c>
      <c r="O6" s="4">
        <v>98.370025910020061</v>
      </c>
      <c r="P6" s="4">
        <v>129.18333630000006</v>
      </c>
      <c r="Q6" s="8">
        <f t="shared" ref="Q6" si="1">O6/P6*100</f>
        <v>76.147612166926208</v>
      </c>
    </row>
    <row r="7" spans="1:17" x14ac:dyDescent="0.25">
      <c r="A7" s="12">
        <v>44682</v>
      </c>
      <c r="B7" s="2">
        <v>6917</v>
      </c>
      <c r="C7" s="2">
        <v>11544.85</v>
      </c>
      <c r="D7" s="2">
        <v>7750.2060000000001</v>
      </c>
      <c r="E7" s="2">
        <v>982676</v>
      </c>
      <c r="F7" s="2">
        <v>1105.4617940000001</v>
      </c>
      <c r="G7" s="2">
        <v>1303.5873000000001</v>
      </c>
      <c r="H7" s="5">
        <f t="shared" si="0"/>
        <v>84.801516093321865</v>
      </c>
      <c r="I7" s="5">
        <v>5265.57</v>
      </c>
      <c r="J7" s="5">
        <v>383.95</v>
      </c>
      <c r="K7" s="10">
        <v>5649.5199999999995</v>
      </c>
      <c r="L7" s="5">
        <v>99.491561460000071</v>
      </c>
      <c r="M7" s="5">
        <v>6.7493964349999969</v>
      </c>
      <c r="N7" s="5">
        <v>0.46559882746999903</v>
      </c>
      <c r="O7" s="5">
        <v>106.70655672247007</v>
      </c>
      <c r="P7" s="5">
        <v>136.70682310000007</v>
      </c>
      <c r="Q7" s="5">
        <f>O7/P7*100</f>
        <v>78.055033613366163</v>
      </c>
    </row>
    <row r="8" spans="1:17" x14ac:dyDescent="0.25">
      <c r="A8" s="12">
        <v>44713</v>
      </c>
      <c r="B8" s="1">
        <v>7191</v>
      </c>
      <c r="C8" s="1">
        <v>11668.43</v>
      </c>
      <c r="D8" s="1">
        <v>7828.6350000000002</v>
      </c>
      <c r="E8" s="1">
        <v>991500</v>
      </c>
      <c r="F8" s="1">
        <v>1101.1575030000001</v>
      </c>
      <c r="G8" s="1">
        <v>1313.677044</v>
      </c>
      <c r="H8" s="4">
        <f t="shared" si="0"/>
        <v>83.822542841054641</v>
      </c>
      <c r="I8" s="4">
        <v>5787.689000000003</v>
      </c>
      <c r="J8" s="4">
        <v>404.85043000000013</v>
      </c>
      <c r="K8" s="4">
        <v>6192.5394300000034</v>
      </c>
      <c r="L8" s="4">
        <v>99.104175270000042</v>
      </c>
      <c r="M8" s="4">
        <v>7.3455281200000044</v>
      </c>
      <c r="N8" s="4">
        <v>0.48489278826000093</v>
      </c>
      <c r="O8" s="11">
        <v>106.93459617826004</v>
      </c>
      <c r="P8" s="4">
        <v>137.45802740000008</v>
      </c>
      <c r="Q8" s="11">
        <f t="shared" ref="Q8:Q17" si="2">O8/P8*100</f>
        <v>77.794362541725221</v>
      </c>
    </row>
    <row r="9" spans="1:17" x14ac:dyDescent="0.25">
      <c r="A9" s="12">
        <v>44743</v>
      </c>
      <c r="B9" s="2">
        <v>7287</v>
      </c>
      <c r="C9" s="2">
        <v>11915.57</v>
      </c>
      <c r="D9" s="2">
        <v>7948.8559999999998</v>
      </c>
      <c r="E9" s="2">
        <v>1013331</v>
      </c>
      <c r="F9" s="2">
        <v>1124.680071</v>
      </c>
      <c r="G9" s="2">
        <v>1333.901392</v>
      </c>
      <c r="H9" s="5">
        <f t="shared" si="0"/>
        <v>84.315083389612354</v>
      </c>
      <c r="I9" s="5">
        <v>6295.64</v>
      </c>
      <c r="J9" s="5">
        <v>423.23</v>
      </c>
      <c r="K9" s="10">
        <v>6718.8700000000008</v>
      </c>
      <c r="L9" s="5">
        <v>101.22120638999996</v>
      </c>
      <c r="M9" s="5">
        <v>7.941237368000003</v>
      </c>
      <c r="N9" s="5">
        <v>0.50092288184000111</v>
      </c>
      <c r="O9" s="5">
        <v>109.66336663983996</v>
      </c>
      <c r="P9" s="5">
        <v>139.59314219999993</v>
      </c>
      <c r="Q9" s="5">
        <f t="shared" si="2"/>
        <v>78.559279425576264</v>
      </c>
    </row>
    <row r="10" spans="1:17" x14ac:dyDescent="0.25">
      <c r="A10" s="12">
        <v>44774</v>
      </c>
      <c r="B10" s="1">
        <v>6987</v>
      </c>
      <c r="C10" s="1">
        <v>11452.2</v>
      </c>
      <c r="D10" s="1">
        <v>7691.6059999999998</v>
      </c>
      <c r="E10" s="1">
        <v>981028</v>
      </c>
      <c r="F10" s="1">
        <v>1091.9707129999999</v>
      </c>
      <c r="G10" s="1">
        <v>1293.3170400000001</v>
      </c>
      <c r="H10" s="4">
        <f t="shared" si="0"/>
        <v>84.431788898412705</v>
      </c>
      <c r="I10" s="4">
        <v>5239.79</v>
      </c>
      <c r="J10" s="4">
        <v>297.87</v>
      </c>
      <c r="K10" s="4">
        <v>5537.66</v>
      </c>
      <c r="L10" s="4">
        <v>98.277364169999998</v>
      </c>
      <c r="M10" s="4">
        <v>6.5988648059999999</v>
      </c>
      <c r="N10" s="4">
        <v>0.36491416617999944</v>
      </c>
      <c r="O10" s="11">
        <v>105.24114314217999</v>
      </c>
      <c r="P10" s="4">
        <v>135.58305900000005</v>
      </c>
      <c r="Q10" s="11">
        <f t="shared" si="2"/>
        <v>77.62115998738453</v>
      </c>
    </row>
    <row r="11" spans="1:17" x14ac:dyDescent="0.25">
      <c r="A11" s="12">
        <v>44805</v>
      </c>
      <c r="B11" s="2">
        <v>6982</v>
      </c>
      <c r="C11" s="2">
        <v>11455.12</v>
      </c>
      <c r="D11" s="2">
        <v>7700.1760000000004</v>
      </c>
      <c r="E11" s="2">
        <v>996471</v>
      </c>
      <c r="F11" s="2">
        <v>1105.4689990000002</v>
      </c>
      <c r="G11" s="2">
        <v>1294.808976</v>
      </c>
      <c r="H11" s="5">
        <f t="shared" si="0"/>
        <v>85.376995332167056</v>
      </c>
      <c r="I11" s="5">
        <v>4056.748</v>
      </c>
      <c r="J11" s="5">
        <v>440.26</v>
      </c>
      <c r="K11" s="10">
        <v>4497.0079999999998</v>
      </c>
      <c r="L11" s="5">
        <v>99.492209909999929</v>
      </c>
      <c r="M11" s="5">
        <v>5.218883520000003</v>
      </c>
      <c r="N11" s="5">
        <v>0.53219538369000086</v>
      </c>
      <c r="O11" s="5">
        <v>105.24328881368994</v>
      </c>
      <c r="P11" s="5">
        <v>135.75278520000003</v>
      </c>
      <c r="Q11" s="5">
        <f t="shared" si="2"/>
        <v>77.525693972789227</v>
      </c>
    </row>
    <row r="12" spans="1:17" x14ac:dyDescent="0.25">
      <c r="A12" s="12">
        <v>44835</v>
      </c>
      <c r="B12" s="1">
        <v>7282</v>
      </c>
      <c r="C12" s="1">
        <v>11845.22</v>
      </c>
      <c r="D12" s="1">
        <v>8016.3860000000004</v>
      </c>
      <c r="E12" s="1">
        <v>1048868</v>
      </c>
      <c r="F12" s="1">
        <v>1155.735457</v>
      </c>
      <c r="G12" s="1">
        <v>1351.2299399999999</v>
      </c>
      <c r="H12" s="4">
        <f t="shared" si="0"/>
        <v>85.532108398959835</v>
      </c>
      <c r="I12" s="4">
        <v>5711.0190000000002</v>
      </c>
      <c r="J12" s="4">
        <v>384.86971999999997</v>
      </c>
      <c r="K12" s="4">
        <v>6095.8887199999999</v>
      </c>
      <c r="L12" s="4">
        <v>104.01619113000001</v>
      </c>
      <c r="M12" s="4">
        <v>7.2867928879999999</v>
      </c>
      <c r="N12" s="4">
        <v>0.44057161373999904</v>
      </c>
      <c r="O12" s="11">
        <v>111.74355563174001</v>
      </c>
      <c r="P12" s="4">
        <v>141.73637109999999</v>
      </c>
      <c r="Q12" s="11">
        <f t="shared" si="2"/>
        <v>78.839012713893325</v>
      </c>
    </row>
    <row r="13" spans="1:17" x14ac:dyDescent="0.25">
      <c r="A13" s="12">
        <v>44866</v>
      </c>
      <c r="B13" s="2">
        <v>7056</v>
      </c>
      <c r="C13" s="2">
        <v>11458.65</v>
      </c>
      <c r="D13" s="2">
        <v>7675.6880000000001</v>
      </c>
      <c r="E13" s="2">
        <v>1087214</v>
      </c>
      <c r="F13" s="2">
        <v>1186.3874040000001</v>
      </c>
      <c r="G13" s="2">
        <v>1293.67948</v>
      </c>
      <c r="H13" s="5">
        <f t="shared" si="0"/>
        <v>91.706440609230356</v>
      </c>
      <c r="I13" s="5">
        <v>4619.2235499999997</v>
      </c>
      <c r="J13" s="5">
        <v>404.75470999999999</v>
      </c>
      <c r="K13" s="10">
        <v>5023.9782599999999</v>
      </c>
      <c r="L13" s="5">
        <v>106.77486635999998</v>
      </c>
      <c r="M13" s="5">
        <v>5.891452107860002</v>
      </c>
      <c r="N13" s="5">
        <v>0.49172644303000018</v>
      </c>
      <c r="O13" s="5">
        <v>113.15804491088998</v>
      </c>
      <c r="P13" s="5">
        <v>135.51455731200008</v>
      </c>
      <c r="Q13" s="5">
        <f t="shared" si="2"/>
        <v>83.502501248158978</v>
      </c>
    </row>
    <row r="14" spans="1:17" x14ac:dyDescent="0.25">
      <c r="A14" s="12">
        <v>44896</v>
      </c>
      <c r="B14" s="1">
        <v>7579</v>
      </c>
      <c r="C14" s="1">
        <v>12364.95</v>
      </c>
      <c r="D14" s="1">
        <v>8242.1849999999995</v>
      </c>
      <c r="E14" s="1">
        <v>1170412</v>
      </c>
      <c r="F14" s="1">
        <v>1273.8667180000002</v>
      </c>
      <c r="G14" s="1">
        <v>1386.6257879999998</v>
      </c>
      <c r="H14" s="4">
        <f t="shared" si="0"/>
        <v>91.868096571127694</v>
      </c>
      <c r="I14" s="4">
        <v>4325.4093999999996</v>
      </c>
      <c r="J14" s="4">
        <v>425.27911999999998</v>
      </c>
      <c r="K14" s="4">
        <v>4750.6885199999997</v>
      </c>
      <c r="L14" s="4">
        <v>114.64800462000004</v>
      </c>
      <c r="M14" s="4">
        <v>5.6202246643300002</v>
      </c>
      <c r="N14" s="4">
        <v>0.47663680107000006</v>
      </c>
      <c r="O14" s="11">
        <v>120.74486608540003</v>
      </c>
      <c r="P14" s="4">
        <v>145.32010880000007</v>
      </c>
      <c r="Q14" s="11">
        <f t="shared" si="2"/>
        <v>83.088890506941311</v>
      </c>
    </row>
    <row r="15" spans="1:17" x14ac:dyDescent="0.25">
      <c r="A15" s="12">
        <v>44927</v>
      </c>
      <c r="B15" s="2">
        <v>7374</v>
      </c>
      <c r="C15" s="2">
        <v>12071.05</v>
      </c>
      <c r="D15" s="2">
        <v>7914.68</v>
      </c>
      <c r="E15" s="2">
        <v>1105388</v>
      </c>
      <c r="F15" s="2">
        <v>1189.556732</v>
      </c>
      <c r="G15" s="2">
        <v>1330.0016559999999</v>
      </c>
      <c r="H15" s="5">
        <f t="shared" si="0"/>
        <v>89.440244426282135</v>
      </c>
      <c r="I15" s="5">
        <v>4860.8478100000002</v>
      </c>
      <c r="J15" s="5">
        <v>388.86259000000001</v>
      </c>
      <c r="K15" s="10">
        <v>5249.7103999999999</v>
      </c>
      <c r="L15" s="5">
        <v>107.06002740000001</v>
      </c>
      <c r="M15" s="5">
        <v>6.3975345270999995</v>
      </c>
      <c r="N15" s="5">
        <v>0.46206816654999999</v>
      </c>
      <c r="O15" s="5">
        <v>113.91963009365</v>
      </c>
      <c r="P15" s="5">
        <v>139.13243487800011</v>
      </c>
      <c r="Q15" s="5">
        <f t="shared" si="2"/>
        <v>81.87855706941501</v>
      </c>
    </row>
    <row r="16" spans="1:17" x14ac:dyDescent="0.25">
      <c r="A16" s="12">
        <v>44958</v>
      </c>
      <c r="B16" s="1">
        <v>6752</v>
      </c>
      <c r="C16" s="1">
        <v>11091.633333333333</v>
      </c>
      <c r="D16" s="1">
        <v>7214.2250000000004</v>
      </c>
      <c r="E16" s="1">
        <v>1052571</v>
      </c>
      <c r="F16" s="1">
        <v>1128.1500700000001</v>
      </c>
      <c r="G16" s="1">
        <v>1215.465154</v>
      </c>
      <c r="H16" s="4">
        <f t="shared" si="0"/>
        <v>92.816323552127116</v>
      </c>
      <c r="I16" s="4">
        <v>5070.3016539999999</v>
      </c>
      <c r="J16" s="4">
        <v>371.40825000000001</v>
      </c>
      <c r="K16" s="4">
        <v>5441.7099040000003</v>
      </c>
      <c r="L16" s="4">
        <v>101.53340379000001</v>
      </c>
      <c r="M16" s="4">
        <v>6.6227341901209984</v>
      </c>
      <c r="N16" s="4">
        <v>0.44807497466000001</v>
      </c>
      <c r="O16" s="11">
        <v>108.60421295478102</v>
      </c>
      <c r="P16" s="4">
        <v>127.23467977800007</v>
      </c>
      <c r="Q16" s="11">
        <f t="shared" si="2"/>
        <v>85.357398740873464</v>
      </c>
    </row>
    <row r="17" spans="1:17" x14ac:dyDescent="0.25">
      <c r="A17" s="12">
        <v>44986</v>
      </c>
      <c r="B17" s="2">
        <v>7467</v>
      </c>
      <c r="C17" s="2">
        <v>12184.183333333332</v>
      </c>
      <c r="D17" s="2">
        <v>7991.9740000000002</v>
      </c>
      <c r="E17" s="2">
        <v>1149276</v>
      </c>
      <c r="F17" s="2">
        <v>1233.8317420000001</v>
      </c>
      <c r="G17" s="2">
        <v>1347.55736</v>
      </c>
      <c r="H17" s="5">
        <f t="shared" si="0"/>
        <v>91.560610228866253</v>
      </c>
      <c r="I17" s="5">
        <v>5842.2018200000002</v>
      </c>
      <c r="J17" s="5">
        <v>502.16692999999998</v>
      </c>
      <c r="K17" s="10">
        <v>6344.3687500000005</v>
      </c>
      <c r="L17" s="5">
        <v>111.04485678000003</v>
      </c>
      <c r="M17" s="5">
        <v>6.5945730259014983</v>
      </c>
      <c r="N17" s="5">
        <v>0.44570682696000002</v>
      </c>
      <c r="O17" s="5">
        <v>118.08513663286152</v>
      </c>
      <c r="P17" s="5">
        <v>140.98234560000009</v>
      </c>
      <c r="Q17" s="5">
        <f t="shared" si="2"/>
        <v>83.758811169092539</v>
      </c>
    </row>
    <row r="18" spans="1:17" x14ac:dyDescent="0.25">
      <c r="A18" s="13" t="s">
        <v>23</v>
      </c>
      <c r="B18" s="3">
        <f>SUM(B6:B17)</f>
        <v>85366</v>
      </c>
      <c r="C18" s="3">
        <f t="shared" ref="C18:G18" si="3">SUM(C6:C17)</f>
        <v>139729.20666666667</v>
      </c>
      <c r="D18" s="3">
        <f t="shared" si="3"/>
        <v>93248.516000000018</v>
      </c>
      <c r="E18" s="3">
        <f t="shared" si="3"/>
        <v>12483163</v>
      </c>
      <c r="F18" s="3">
        <f t="shared" si="3"/>
        <v>13716.569406000001</v>
      </c>
      <c r="G18" s="3">
        <f t="shared" si="3"/>
        <v>15694.519498000001</v>
      </c>
      <c r="H18" s="6">
        <f t="shared" si="0"/>
        <v>87.397192425979924</v>
      </c>
      <c r="I18" s="6">
        <f t="shared" ref="I18:P18" si="4">SUM(I6:I17)</f>
        <v>61749.949234000007</v>
      </c>
      <c r="J18" s="6">
        <f t="shared" si="4"/>
        <v>4831.5047000000013</v>
      </c>
      <c r="K18" s="6">
        <f t="shared" si="4"/>
        <v>66581.45393399999</v>
      </c>
      <c r="L18" s="6">
        <f t="shared" si="4"/>
        <v>1234.4910655500003</v>
      </c>
      <c r="M18" s="6">
        <f t="shared" si="4"/>
        <v>78.307200475312513</v>
      </c>
      <c r="N18" s="6">
        <f t="shared" si="4"/>
        <v>5.6161576904700015</v>
      </c>
      <c r="O18" s="6">
        <f t="shared" si="4"/>
        <v>1318.414423715783</v>
      </c>
      <c r="P18" s="6">
        <f t="shared" si="4"/>
        <v>1644.1976706680009</v>
      </c>
      <c r="Q18" s="6">
        <f>O18/P18*100</f>
        <v>80.185883196157334</v>
      </c>
    </row>
    <row r="19" spans="1:17" x14ac:dyDescent="0.25">
      <c r="A19" s="16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  <row r="20" spans="1:17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2020-05-06T11:03:48Z</cp:lastPrinted>
  <dcterms:created xsi:type="dcterms:W3CDTF">2018-10-29T04:00:07Z</dcterms:created>
  <dcterms:modified xsi:type="dcterms:W3CDTF">2023-09-20T07:13:46Z</dcterms:modified>
</cp:coreProperties>
</file>