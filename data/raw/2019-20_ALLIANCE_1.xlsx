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cer\Desktop\PUBLICATION FY2019-20\Annual Publication FY 2019-20\EXCELL\05. ALLIANCE AIR\"/>
    </mc:Choice>
  </mc:AlternateContent>
  <bookViews>
    <workbookView xWindow="0" yWindow="0" windowWidth="24000" windowHeight="9435"/>
  </bookViews>
  <sheets>
    <sheet name="ALLIANCE AIR" sheetId="1" r:id="rId1"/>
  </sheets>
  <definedNames>
    <definedName name="_xlnm.Print_Area" localSheetId="0">'ALLIANCE AIR'!$A$1:$Q$19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7" i="1" l="1"/>
  <c r="Q8" i="1"/>
  <c r="Q9" i="1"/>
  <c r="Q10" i="1"/>
  <c r="Q11" i="1"/>
  <c r="Q12" i="1"/>
  <c r="Q13" i="1"/>
  <c r="Q14" i="1"/>
  <c r="Q15" i="1"/>
  <c r="Q16" i="1"/>
  <c r="Q17" i="1"/>
  <c r="Q6" i="1"/>
  <c r="H7" i="1"/>
  <c r="H8" i="1"/>
  <c r="H9" i="1"/>
  <c r="H10" i="1"/>
  <c r="H11" i="1"/>
  <c r="H12" i="1"/>
  <c r="H13" i="1"/>
  <c r="H14" i="1"/>
  <c r="H15" i="1"/>
  <c r="H16" i="1"/>
  <c r="H17" i="1"/>
  <c r="H6" i="1"/>
  <c r="I18" i="1" l="1"/>
  <c r="J18" i="1"/>
  <c r="K18" i="1"/>
  <c r="L18" i="1"/>
  <c r="M18" i="1"/>
  <c r="N18" i="1"/>
  <c r="O18" i="1"/>
  <c r="P18" i="1"/>
  <c r="C18" i="1"/>
  <c r="D18" i="1"/>
  <c r="E18" i="1"/>
  <c r="F18" i="1"/>
  <c r="H18" i="1" s="1"/>
  <c r="G18" i="1"/>
  <c r="B18" i="1"/>
  <c r="Q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<sst xmlns="http://schemas.openxmlformats.org/spreadsheetml/2006/main" count="26" uniqueCount="24">
  <si>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</si>
  <si>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</si>
  <si>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</si>
  <si>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</si>
  <si>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</si>
  <si>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</si>
  <si>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</si>
  <si>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</si>
  <si>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</si>
  <si>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</si>
  <si>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</si>
  <si>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</si>
  <si>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</si>
  <si>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</si>
  <si>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</si>
  <si>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</si>
  <si>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</si>
  <si>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</si>
  <si>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</si>
  <si>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1.01 (एलाइंस एयर) </t>
  </si>
  <si>
    <t>Table 1.01 (ALLIANCE AIR)</t>
  </si>
  <si>
    <t>SOURCE:-  ICAO ATR FORM 'A' FURNISHED BY ALLIANCE AIR</t>
  </si>
  <si>
    <t>2019-20</t>
  </si>
  <si>
    <t>MONTHLY TRAFFIC AND OPERATING STATISTICS OF ALLIANCE AIR ON SCHEDULED DOMESTIC SERVICES DURING 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</si>
</sst>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6" fontId="3" fillId="4" borderId="1" xfId="3" applyNumberFormat="1" applyBorder="1" applyAlignment="1">
      <alignment horizontal="right" vertical="center"/>
    </xf>
    <xf numFmtId="166" fontId="0" fillId="0" borderId="1" xfId="1" applyNumberFormat="1" applyFont="1" applyBorder="1" applyAlignment="1">
      <alignment horizontal="right" vertical="center"/>
    </xf>
    <xf numFmtId="167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17" fontId="2" fillId="2" borderId="1" xfId="0" applyNumberFormat="1" applyFont="1" applyFill="1" applyBorder="1" applyAlignment="1" applyProtection="1">
      <alignment horizontal="center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19"/>
  <sheetViews>
    <sheetView tabSelected="1" view="pageBreakPreview" zoomScaleSheetLayoutView="100" workbookViewId="0">
      <selection activeCell="X5" sqref="X5"/>
    </sheetView>
  </sheetViews>
  <sheetFormatPr defaultColWidth="9.140625" defaultRowHeight="15" x14ac:dyDescent="0.25"/>
  <cols>
    <col min="1" max="1" width="8.140625" style="1" customWidth="1"/>
    <col min="2" max="2" width="8.28515625" style="1" customWidth="1"/>
    <col min="3" max="3" width="7.85546875" style="1" customWidth="1"/>
    <col min="4" max="4" width="7.28515625" style="1" customWidth="1"/>
    <col min="5" max="5" width="10.28515625" style="1" customWidth="1"/>
    <col min="6" max="6" width="7" style="1" customWidth="1"/>
    <col min="7" max="7" width="8.42578125" style="1" customWidth="1"/>
    <col min="8" max="9" width="6.28515625" style="1" customWidth="1"/>
    <col min="10" max="10" width="6.5703125" style="1" customWidth="1"/>
    <col min="11" max="11" width="6.85546875" style="1" customWidth="1"/>
    <col min="12" max="12" width="7.85546875" style="1" customWidth="1"/>
    <col min="13" max="14" width="6.85546875" style="1" customWidth="1"/>
    <col min="15" max="15" width="7.7109375" style="1" customWidth="1"/>
    <col min="16" max="16" width="8.7109375" style="1" customWidth="1"/>
    <col min="17" max="17" width="8.140625" style="1" customWidth="1"/>
    <col min="18" max="16384" width="9.140625" style="1"/>
  </cols>
  <sheetData>
    <row r="1" spans="1:17" ht="20.100000000000001" customHeight="1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20.100000000000001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0.100000000000001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0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13" t="s">
        <v>3</v>
      </c>
      <c r="H4" s="13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13" t="s">
        <v>7</v>
      </c>
      <c r="Q4" s="13" t="s">
        <v>8</v>
      </c>
    </row>
    <row r="5" spans="1:17" ht="114" customHeight="1" x14ac:dyDescent="0.25">
      <c r="A5" s="18"/>
      <c r="B5" s="11" t="s">
        <v>9</v>
      </c>
      <c r="C5" s="11" t="s">
        <v>10</v>
      </c>
      <c r="D5" s="11" t="s">
        <v>11</v>
      </c>
      <c r="E5" s="11" t="s">
        <v>12</v>
      </c>
      <c r="F5" s="11" t="s">
        <v>13</v>
      </c>
      <c r="G5" s="14"/>
      <c r="H5" s="14"/>
      <c r="I5" s="11" t="s">
        <v>14</v>
      </c>
      <c r="J5" s="11" t="s">
        <v>15</v>
      </c>
      <c r="K5" s="11" t="s">
        <v>16</v>
      </c>
      <c r="L5" s="11" t="s">
        <v>17</v>
      </c>
      <c r="M5" s="11" t="s">
        <v>18</v>
      </c>
      <c r="N5" s="11" t="s">
        <v>15</v>
      </c>
      <c r="O5" s="11" t="s">
        <v>16</v>
      </c>
      <c r="P5" s="14"/>
      <c r="Q5" s="14"/>
    </row>
    <row r="6" spans="1:17" ht="16.5" customHeight="1" x14ac:dyDescent="0.25">
      <c r="A6" s="9">
        <v>43556</v>
      </c>
      <c r="B6" s="3">
        <v>2385</v>
      </c>
      <c r="C6" s="3">
        <v>4257</v>
      </c>
      <c r="D6" s="3">
        <v>1792</v>
      </c>
      <c r="E6" s="3">
        <v>134597</v>
      </c>
      <c r="F6" s="3">
        <v>56.195</v>
      </c>
      <c r="G6" s="3">
        <v>82.941000000000003</v>
      </c>
      <c r="H6" s="6">
        <f>F6/G6*100</f>
        <v>67.752981034711425</v>
      </c>
      <c r="I6" s="6">
        <v>11.6</v>
      </c>
      <c r="J6" s="6">
        <v>0</v>
      </c>
      <c r="K6" s="6">
        <v>11.6</v>
      </c>
      <c r="L6" s="6">
        <v>5.1139999999999999</v>
      </c>
      <c r="M6" s="6">
        <v>5.5999999999999999E-3</v>
      </c>
      <c r="N6" s="6">
        <v>0</v>
      </c>
      <c r="O6" s="6">
        <v>5.1196000000000002</v>
      </c>
      <c r="P6" s="6">
        <v>7.7130000000000001</v>
      </c>
      <c r="Q6" s="6">
        <f>O6/P6*100</f>
        <v>66.376247893167388</v>
      </c>
    </row>
    <row r="7" spans="1:17" ht="18" customHeight="1" x14ac:dyDescent="0.25">
      <c r="A7" s="10">
        <v>43586</v>
      </c>
      <c r="B7" s="4">
        <v>2617</v>
      </c>
      <c r="C7" s="4">
        <v>4703</v>
      </c>
      <c r="D7" s="4">
        <v>1958</v>
      </c>
      <c r="E7" s="4">
        <v>152294</v>
      </c>
      <c r="F7" s="4">
        <v>64.349999999999994</v>
      </c>
      <c r="G7" s="4">
        <v>91.233999999999995</v>
      </c>
      <c r="H7" s="7">
        <f t="shared" ref="H7:H17" si="0">F7/G7*100</f>
        <v>70.532915360501562</v>
      </c>
      <c r="I7" s="7">
        <v>15.1</v>
      </c>
      <c r="J7" s="7">
        <v>0</v>
      </c>
      <c r="K7" s="7">
        <v>15.1</v>
      </c>
      <c r="L7" s="7">
        <v>5.8559999999999999</v>
      </c>
      <c r="M7" s="7">
        <v>7.1999999999999998E-3</v>
      </c>
      <c r="N7" s="7">
        <v>0</v>
      </c>
      <c r="O7" s="7">
        <v>5.8632</v>
      </c>
      <c r="P7" s="7">
        <v>8.4659999999999993</v>
      </c>
      <c r="Q7" s="7">
        <f t="shared" ref="Q7:Q18" si="1">O7/P7*100</f>
        <v>69.255846917080092</v>
      </c>
    </row>
    <row r="8" spans="1:17" ht="12.75" customHeight="1" x14ac:dyDescent="0.25">
      <c r="A8" s="9">
        <v>43617</v>
      </c>
      <c r="B8" s="3">
        <v>2494</v>
      </c>
      <c r="C8" s="3">
        <v>4511</v>
      </c>
      <c r="D8" s="3">
        <v>1886</v>
      </c>
      <c r="E8" s="3">
        <v>147259</v>
      </c>
      <c r="F8" s="3">
        <v>61.093000000000004</v>
      </c>
      <c r="G8" s="3">
        <v>86.162999999999997</v>
      </c>
      <c r="H8" s="6">
        <f t="shared" si="0"/>
        <v>70.903984308810053</v>
      </c>
      <c r="I8" s="6">
        <v>13.6</v>
      </c>
      <c r="J8" s="6">
        <v>0</v>
      </c>
      <c r="K8" s="6">
        <v>13.6</v>
      </c>
      <c r="L8" s="6">
        <v>5.56</v>
      </c>
      <c r="M8" s="6">
        <v>6.6E-3</v>
      </c>
      <c r="N8" s="6">
        <v>0</v>
      </c>
      <c r="O8" s="6">
        <v>5.5666000000000002</v>
      </c>
      <c r="P8" s="6">
        <v>7.9880000000000004</v>
      </c>
      <c r="Q8" s="6">
        <f t="shared" si="1"/>
        <v>69.687030545818729</v>
      </c>
    </row>
    <row r="9" spans="1:17" ht="15.75" customHeight="1" x14ac:dyDescent="0.25">
      <c r="A9" s="10">
        <v>43647</v>
      </c>
      <c r="B9" s="4">
        <v>2469</v>
      </c>
      <c r="C9" s="4">
        <v>4463</v>
      </c>
      <c r="D9" s="4">
        <v>1810</v>
      </c>
      <c r="E9" s="4">
        <v>135724</v>
      </c>
      <c r="F9" s="4">
        <v>56.762999999999998</v>
      </c>
      <c r="G9" s="4">
        <v>85.206999999999994</v>
      </c>
      <c r="H9" s="7">
        <f t="shared" si="0"/>
        <v>66.617766145973917</v>
      </c>
      <c r="I9" s="7">
        <v>11.7</v>
      </c>
      <c r="J9" s="7">
        <v>0</v>
      </c>
      <c r="K9" s="7">
        <v>11.7</v>
      </c>
      <c r="L9" s="7">
        <v>5.165</v>
      </c>
      <c r="M9" s="7">
        <v>5.5999999999999999E-3</v>
      </c>
      <c r="N9" s="7">
        <v>0</v>
      </c>
      <c r="O9" s="7">
        <v>5.1706000000000003</v>
      </c>
      <c r="P9" s="7">
        <v>7.9160000000000004</v>
      </c>
      <c r="Q9" s="7">
        <f t="shared" si="1"/>
        <v>65.318342597271354</v>
      </c>
    </row>
    <row r="10" spans="1:17" ht="18" customHeight="1" x14ac:dyDescent="0.25">
      <c r="A10" s="9">
        <v>43678</v>
      </c>
      <c r="B10" s="3">
        <v>2603</v>
      </c>
      <c r="C10" s="3">
        <v>4532</v>
      </c>
      <c r="D10" s="3">
        <v>1790</v>
      </c>
      <c r="E10" s="3">
        <v>134431</v>
      </c>
      <c r="F10" s="3">
        <v>56.174999999999997</v>
      </c>
      <c r="G10" s="3">
        <v>88.069000000000003</v>
      </c>
      <c r="H10" s="6">
        <f t="shared" si="0"/>
        <v>63.785213866400206</v>
      </c>
      <c r="I10" s="6">
        <v>21.6</v>
      </c>
      <c r="J10" s="6">
        <v>0</v>
      </c>
      <c r="K10" s="6">
        <v>21.6</v>
      </c>
      <c r="L10" s="6">
        <v>5.1120000000000001</v>
      </c>
      <c r="M10" s="6">
        <v>1.03E-2</v>
      </c>
      <c r="N10" s="6">
        <v>0</v>
      </c>
      <c r="O10" s="6">
        <v>5.1223000000000001</v>
      </c>
      <c r="P10" s="6">
        <v>8.1869999999999994</v>
      </c>
      <c r="Q10" s="6">
        <f t="shared" si="1"/>
        <v>62.566263588616103</v>
      </c>
    </row>
    <row r="11" spans="1:17" ht="15" customHeight="1" x14ac:dyDescent="0.25">
      <c r="A11" s="10">
        <v>43709</v>
      </c>
      <c r="B11" s="4">
        <v>2667</v>
      </c>
      <c r="C11" s="4">
        <v>4610</v>
      </c>
      <c r="D11" s="4">
        <v>1787</v>
      </c>
      <c r="E11" s="4">
        <v>135642</v>
      </c>
      <c r="F11" s="4">
        <v>55.414999999999999</v>
      </c>
      <c r="G11" s="4">
        <v>88.337999999999994</v>
      </c>
      <c r="H11" s="7">
        <f t="shared" si="0"/>
        <v>62.730648192170982</v>
      </c>
      <c r="I11" s="7">
        <v>25</v>
      </c>
      <c r="J11" s="7">
        <v>0</v>
      </c>
      <c r="K11" s="7">
        <v>25</v>
      </c>
      <c r="L11" s="7">
        <v>5.0430000000000001</v>
      </c>
      <c r="M11" s="7">
        <v>1.2199999999999999E-2</v>
      </c>
      <c r="N11" s="7">
        <v>0</v>
      </c>
      <c r="O11" s="7">
        <v>5.0552000000000001</v>
      </c>
      <c r="P11" s="7">
        <v>8.2089999999999996</v>
      </c>
      <c r="Q11" s="7">
        <f t="shared" si="1"/>
        <v>61.581191375319776</v>
      </c>
    </row>
    <row r="12" spans="1:17" ht="16.5" customHeight="1" x14ac:dyDescent="0.25">
      <c r="A12" s="9">
        <v>43739</v>
      </c>
      <c r="B12" s="3">
        <v>2700</v>
      </c>
      <c r="C12" s="3">
        <v>4667</v>
      </c>
      <c r="D12" s="3">
        <v>1805</v>
      </c>
      <c r="E12" s="3">
        <v>145086</v>
      </c>
      <c r="F12" s="3">
        <v>58.308999999999997</v>
      </c>
      <c r="G12" s="3">
        <v>88.373000000000005</v>
      </c>
      <c r="H12" s="6">
        <f t="shared" si="0"/>
        <v>65.980559673203345</v>
      </c>
      <c r="I12" s="6">
        <v>25.8</v>
      </c>
      <c r="J12" s="6">
        <v>0</v>
      </c>
      <c r="K12" s="6">
        <v>25.8</v>
      </c>
      <c r="L12" s="6">
        <v>5.306</v>
      </c>
      <c r="M12" s="6">
        <v>1.26E-2</v>
      </c>
      <c r="N12" s="6">
        <v>0</v>
      </c>
      <c r="O12" s="6">
        <v>5.3186</v>
      </c>
      <c r="P12" s="6">
        <v>8.1999999999999993</v>
      </c>
      <c r="Q12" s="6">
        <f t="shared" si="1"/>
        <v>64.860975609756096</v>
      </c>
    </row>
    <row r="13" spans="1:17" ht="17.25" customHeight="1" x14ac:dyDescent="0.25">
      <c r="A13" s="10">
        <v>43770</v>
      </c>
      <c r="B13" s="4">
        <v>2507</v>
      </c>
      <c r="C13" s="4">
        <v>4410</v>
      </c>
      <c r="D13" s="4">
        <v>1658</v>
      </c>
      <c r="E13" s="4">
        <v>134676</v>
      </c>
      <c r="F13" s="4">
        <v>54.529000000000003</v>
      </c>
      <c r="G13" s="4">
        <v>82.733999999999995</v>
      </c>
      <c r="H13" s="7">
        <f t="shared" si="0"/>
        <v>65.908816206154668</v>
      </c>
      <c r="I13" s="7">
        <v>22.8</v>
      </c>
      <c r="J13" s="7">
        <v>0</v>
      </c>
      <c r="K13" s="7">
        <v>22.8</v>
      </c>
      <c r="L13" s="7">
        <v>4.9619999999999997</v>
      </c>
      <c r="M13" s="7">
        <v>1.0999999999999999E-2</v>
      </c>
      <c r="N13" s="7">
        <v>0</v>
      </c>
      <c r="O13" s="7">
        <v>4.9729999999999999</v>
      </c>
      <c r="P13" s="7">
        <v>7.6760000000000002</v>
      </c>
      <c r="Q13" s="7">
        <f t="shared" si="1"/>
        <v>64.786347055758213</v>
      </c>
    </row>
    <row r="14" spans="1:17" ht="14.25" customHeight="1" x14ac:dyDescent="0.25">
      <c r="A14" s="9">
        <v>43800</v>
      </c>
      <c r="B14" s="3">
        <v>2690</v>
      </c>
      <c r="C14" s="3">
        <v>4690</v>
      </c>
      <c r="D14" s="3">
        <v>1751</v>
      </c>
      <c r="E14" s="3">
        <v>145520</v>
      </c>
      <c r="F14" s="3">
        <v>58.192</v>
      </c>
      <c r="G14" s="3">
        <v>88.009</v>
      </c>
      <c r="H14" s="6">
        <f t="shared" si="0"/>
        <v>66.120510402345218</v>
      </c>
      <c r="I14" s="6">
        <v>24.3</v>
      </c>
      <c r="J14" s="6">
        <v>0</v>
      </c>
      <c r="K14" s="6">
        <v>24.3</v>
      </c>
      <c r="L14" s="6">
        <v>5.2956000000000003</v>
      </c>
      <c r="M14" s="6">
        <v>1.1699999999999999E-2</v>
      </c>
      <c r="N14" s="6">
        <v>0</v>
      </c>
      <c r="O14" s="6">
        <v>5.3073000000000006</v>
      </c>
      <c r="P14" s="6">
        <v>8.157</v>
      </c>
      <c r="Q14" s="6">
        <f t="shared" si="1"/>
        <v>65.064361897756541</v>
      </c>
    </row>
    <row r="15" spans="1:17" ht="15.75" customHeight="1" x14ac:dyDescent="0.25">
      <c r="A15" s="10">
        <v>43831</v>
      </c>
      <c r="B15" s="4">
        <v>2684</v>
      </c>
      <c r="C15" s="4">
        <v>4627</v>
      </c>
      <c r="D15" s="4">
        <v>1747</v>
      </c>
      <c r="E15" s="4">
        <v>142268</v>
      </c>
      <c r="F15" s="4">
        <v>57.616999999999997</v>
      </c>
      <c r="G15" s="4">
        <v>89.406999999999996</v>
      </c>
      <c r="H15" s="7">
        <f t="shared" si="0"/>
        <v>64.443499949668364</v>
      </c>
      <c r="I15" s="7">
        <v>17.8</v>
      </c>
      <c r="J15" s="7"/>
      <c r="K15" s="7">
        <v>17.8</v>
      </c>
      <c r="L15" s="7">
        <v>5.2430000000000003</v>
      </c>
      <c r="M15" s="7">
        <v>8.5000000000000006E-3</v>
      </c>
      <c r="N15" s="7">
        <v>0</v>
      </c>
      <c r="O15" s="7">
        <v>5.2515000000000001</v>
      </c>
      <c r="P15" s="7">
        <v>8.2910000000000004</v>
      </c>
      <c r="Q15" s="7">
        <f t="shared" si="1"/>
        <v>63.339766011337595</v>
      </c>
    </row>
    <row r="16" spans="1:17" ht="14.25" customHeight="1" x14ac:dyDescent="0.25">
      <c r="A16" s="9">
        <v>43862</v>
      </c>
      <c r="B16" s="3">
        <v>2735</v>
      </c>
      <c r="C16" s="3">
        <v>4683</v>
      </c>
      <c r="D16" s="3">
        <v>1695</v>
      </c>
      <c r="E16" s="3">
        <v>145354</v>
      </c>
      <c r="F16" s="3">
        <v>58.381</v>
      </c>
      <c r="G16" s="3">
        <v>89.662000000000006</v>
      </c>
      <c r="H16" s="6">
        <f t="shared" si="0"/>
        <v>65.112310677879137</v>
      </c>
      <c r="I16" s="6">
        <v>20.2</v>
      </c>
      <c r="J16" s="6"/>
      <c r="K16" s="6">
        <v>20.2</v>
      </c>
      <c r="L16" s="6">
        <v>5.3126999999999995</v>
      </c>
      <c r="M16" s="6">
        <v>9.9000000000000008E-3</v>
      </c>
      <c r="N16" s="6">
        <v>0</v>
      </c>
      <c r="O16" s="6">
        <v>5.3225999999999996</v>
      </c>
      <c r="P16" s="6">
        <v>8.3030000000000008</v>
      </c>
      <c r="Q16" s="6">
        <f t="shared" si="1"/>
        <v>64.104540527520157</v>
      </c>
    </row>
    <row r="17" spans="1:17" ht="15" customHeight="1" x14ac:dyDescent="0.25">
      <c r="A17" s="10">
        <v>43891</v>
      </c>
      <c r="B17" s="4">
        <v>1987</v>
      </c>
      <c r="C17" s="4">
        <v>3345</v>
      </c>
      <c r="D17" s="4">
        <v>1196</v>
      </c>
      <c r="E17" s="4">
        <v>82612</v>
      </c>
      <c r="F17" s="4">
        <v>33.51</v>
      </c>
      <c r="G17" s="4">
        <v>65.186999999999998</v>
      </c>
      <c r="H17" s="7">
        <f t="shared" si="0"/>
        <v>51.405955175111608</v>
      </c>
      <c r="I17" s="7">
        <v>15.5</v>
      </c>
      <c r="J17" s="7"/>
      <c r="K17" s="7">
        <v>15.5</v>
      </c>
      <c r="L17" s="7">
        <v>3.0493999999999999</v>
      </c>
      <c r="M17" s="7">
        <v>7.7000000000000002E-3</v>
      </c>
      <c r="N17" s="7">
        <v>0</v>
      </c>
      <c r="O17" s="7">
        <v>3.0570999999999997</v>
      </c>
      <c r="P17" s="7">
        <v>5.9539999999999997</v>
      </c>
      <c r="Q17" s="7">
        <f t="shared" si="1"/>
        <v>51.345314074571711</v>
      </c>
    </row>
    <row r="18" spans="1:17" ht="15.75" customHeight="1" x14ac:dyDescent="0.25">
      <c r="A18" s="2" t="s">
        <v>22</v>
      </c>
      <c r="B18" s="5">
        <f>SUM(B6:B17)</f>
        <v>30538</v>
      </c>
      <c r="C18" s="5">
        <f t="shared" ref="C18:G18" si="2">SUM(C6:C17)</f>
        <v>53498</v>
      </c>
      <c r="D18" s="5">
        <f t="shared" si="2"/>
        <v>20875</v>
      </c>
      <c r="E18" s="5">
        <f t="shared" si="2"/>
        <v>1635463</v>
      </c>
      <c r="F18" s="5">
        <f t="shared" si="2"/>
        <v>670.52899999999988</v>
      </c>
      <c r="G18" s="5">
        <f t="shared" si="2"/>
        <v>1025.3240000000001</v>
      </c>
      <c r="H18" s="8">
        <f>F18/G18*100</f>
        <v>65.396791648298475</v>
      </c>
      <c r="I18" s="8">
        <f t="shared" ref="I18" si="3">SUM(I6:I17)</f>
        <v>225</v>
      </c>
      <c r="J18" s="8">
        <f t="shared" ref="J18" si="4">SUM(J6:J17)</f>
        <v>0</v>
      </c>
      <c r="K18" s="8">
        <f t="shared" ref="K18" si="5">SUM(K6:K17)</f>
        <v>225</v>
      </c>
      <c r="L18" s="8">
        <f t="shared" ref="L18" si="6">SUM(L6:L17)</f>
        <v>61.018699999999995</v>
      </c>
      <c r="M18" s="8">
        <f t="shared" ref="M18" si="7">SUM(M6:M17)</f>
        <v>0.1089</v>
      </c>
      <c r="N18" s="8">
        <f t="shared" ref="N18" si="8">SUM(N6:N17)</f>
        <v>0</v>
      </c>
      <c r="O18" s="8">
        <f t="shared" ref="O18" si="9">SUM(O6:O17)</f>
        <v>61.127599999999994</v>
      </c>
      <c r="P18" s="8">
        <f t="shared" ref="P18" si="10">SUM(P6:P17)</f>
        <v>95.059999999999988</v>
      </c>
      <c r="Q18" s="8">
        <f t="shared" si="1"/>
        <v>64.304228908058064</v>
      </c>
    </row>
    <row r="19" spans="1:17" ht="15.75" customHeight="1" x14ac:dyDescent="0.25">
      <c r="A19" s="12" t="s">
        <v>21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ALLIANCE AIR</vt:lpstr>
      <vt:lpstr>'ALLIANCE AIR'!Print_Area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2020-05-06T11:03:48Z</cp:lastPrinted>
  <dcterms:created xsi:type="dcterms:W3CDTF">2018-10-29T04:00:07Z</dcterms:created>
  <dcterms:modified xsi:type="dcterms:W3CDTF">2021-09-14T21:07:03Z</dcterms:modified>
</cp:coreProperties>
</file>