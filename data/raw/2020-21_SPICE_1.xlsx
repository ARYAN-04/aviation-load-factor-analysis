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xWindow="0" yWindow="0" windowWidth="24000" windowHeight="9735"/>
  </bookViews>
  <sheets>
    <sheet name="SPICEJET" sheetId="1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3" l="1"/>
  <c r="K8" i="13" l="1"/>
  <c r="K9" i="13"/>
  <c r="K10" i="13"/>
  <c r="K11" i="13"/>
  <c r="K12" i="13"/>
  <c r="K13" i="13"/>
  <c r="K14" i="13"/>
  <c r="K15" i="13"/>
  <c r="K16" i="13"/>
  <c r="K17" i="13"/>
  <c r="K7" i="13"/>
  <c r="O16" i="13"/>
  <c r="O8" i="13"/>
  <c r="O9" i="13"/>
  <c r="O10" i="13"/>
  <c r="O11" i="13"/>
  <c r="O12" i="13"/>
  <c r="O13" i="13"/>
  <c r="O14" i="13"/>
  <c r="O15" i="13"/>
  <c r="O17" i="13"/>
  <c r="O7" i="13"/>
  <c r="Q7" i="13" l="1"/>
  <c r="Q8" i="13"/>
  <c r="Q9" i="13"/>
  <c r="Q10" i="13"/>
  <c r="Q11" i="13"/>
  <c r="Q12" i="13"/>
  <c r="Q13" i="13"/>
  <c r="Q14" i="13"/>
  <c r="Q15" i="13"/>
  <c r="Q16" i="13"/>
  <c r="H7" i="13"/>
  <c r="H8" i="13"/>
  <c r="H9" i="13"/>
  <c r="H10" i="13"/>
  <c r="H11" i="13"/>
  <c r="H12" i="13"/>
  <c r="H13" i="13"/>
  <c r="H14" i="13"/>
  <c r="H15" i="13"/>
  <c r="H16" i="13"/>
  <c r="H17" i="13"/>
  <c r="I18" i="13" l="1"/>
  <c r="C18" i="13"/>
  <c r="B18" i="13"/>
  <c r="P18" i="13"/>
  <c r="O18" i="13"/>
  <c r="M18" i="13"/>
  <c r="L18" i="13"/>
  <c r="K18" i="13"/>
  <c r="G18" i="13"/>
  <c r="F18" i="13"/>
  <c r="E18" i="13"/>
  <c r="D18" i="13"/>
  <c r="H18" i="13" l="1"/>
  <c r="Q18" i="1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<sst xmlns="http://schemas.openxmlformats.org/spreadsheetml/2006/main" count="26" uniqueCount="24">
  <si>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</si>
  <si>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</si>
  <si>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</si>
  <si>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</si>
  <si>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</si>
  <si>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</si>
  <si>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</si>
  <si>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</si>
  <si>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</si>
  <si>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</si>
  <si>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</si>
  <si>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</si>
  <si>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</si>
  <si>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</si>
  <si>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</si>
  <si>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</si>
  <si>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</si>
  <si>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</si>
  <si>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</si>
  <si>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(स्पाइसजेट) </t>
  </si>
  <si>
    <t>Table 1.01 (SPICEJET)</t>
  </si>
  <si>
    <t>SOURCE:-  ICAO ATR FORM 'A' FURNISHED BY SPICEJET</t>
  </si>
  <si>
    <t>MONTHLY TRAFFIC AND OPERATING STATISTICS OF SPICEJET ON SCHEDULED DOMESTIC SERVICES DURING 2020-21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</si>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</sst>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1010409]m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66" fontId="0" fillId="5" borderId="1" xfId="1" applyNumberFormat="1" applyFont="1" applyFill="1" applyBorder="1" applyAlignment="1">
      <alignment horizontal="right" vertical="center"/>
    </xf>
    <xf numFmtId="3" fontId="0" fillId="0" borderId="0" xfId="0" applyNumberFormat="1"/>
    <xf numFmtId="168" fontId="3" fillId="4" borderId="1" xfId="3" applyNumberFormat="1" applyBorder="1" applyAlignment="1">
      <alignment horizontal="right" vertical="center"/>
    </xf>
    <xf numFmtId="168" fontId="0" fillId="0" borderId="1" xfId="1" applyNumberFormat="1" applyFont="1" applyBorder="1" applyAlignment="1">
      <alignment horizontal="right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8" fontId="2" fillId="3" borderId="1" xfId="2" applyNumberFormat="1" applyFont="1" applyBorder="1" applyAlignment="1" applyProtection="1">
      <alignment horizontal="center" vertical="center" wrapText="1"/>
    </xf>
    <xf numFmtId="168" fontId="2" fillId="3" borderId="1" xfId="2" applyNumberFormat="1" applyFont="1" applyBorder="1" applyAlignment="1">
      <alignment vertical="center"/>
    </xf>
    <xf numFmtId="168" fontId="2" fillId="3" borderId="1" xfId="2" applyNumberFormat="1" applyFont="1" applyBorder="1" applyAlignment="1" applyProtection="1">
      <alignment horizontal="center" vertical="center" textRotation="90" wrapText="1"/>
    </xf>
    <xf numFmtId="168" fontId="2" fillId="3" borderId="1" xfId="2" applyNumberFormat="1" applyFont="1" applyBorder="1" applyAlignment="1" applyProtection="1">
      <alignment horizontal="center" vertical="center" textRotation="90" wrapText="1"/>
    </xf>
    <xf numFmtId="168" fontId="2" fillId="3" borderId="1" xfId="2" applyNumberFormat="1" applyFont="1" applyBorder="1" applyAlignment="1">
      <alignment vertical="center" textRotation="90"/>
    </xf>
    <xf numFmtId="168" fontId="2" fillId="3" borderId="1" xfId="2" applyNumberFormat="1" applyFont="1" applyBorder="1" applyAlignment="1">
      <alignment horizontal="center" vertical="center" textRotation="90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zoomScale="60" zoomScaleNormal="85" workbookViewId="0">
      <selection activeCell="A4" sqref="A4:Q5"/>
    </sheetView>
  </sheetViews>
  <sheetFormatPr defaultRowHeight="15" x14ac:dyDescent="0.25"/>
  <cols>
    <col min="1" max="1" width="14.140625" customWidth="1"/>
    <col min="2" max="3" width="8" customWidth="1"/>
    <col min="4" max="4" width="8.42578125" customWidth="1"/>
    <col min="5" max="5" width="10.7109375" customWidth="1"/>
    <col min="6" max="7" width="10.140625" customWidth="1"/>
    <col min="8" max="8" width="6.42578125" customWidth="1"/>
    <col min="9" max="9" width="9.5703125" customWidth="1"/>
    <col min="10" max="10" width="4.85546875" customWidth="1"/>
    <col min="11" max="11" width="10.42578125" customWidth="1"/>
    <col min="12" max="12" width="9.140625" customWidth="1"/>
    <col min="13" max="13" width="8.7109375" customWidth="1"/>
    <col min="14" max="14" width="4.85546875" customWidth="1"/>
    <col min="15" max="15" width="9.42578125" customWidth="1"/>
    <col min="16" max="16" width="11" customWidth="1"/>
    <col min="17" max="17" width="6.5703125" customWidth="1"/>
  </cols>
  <sheetData>
    <row r="1" spans="1:17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0" customHeight="1" x14ac:dyDescent="0.25">
      <c r="A4" s="20" t="s">
        <v>0</v>
      </c>
      <c r="B4" s="20" t="s">
        <v>1</v>
      </c>
      <c r="C4" s="20"/>
      <c r="D4" s="20"/>
      <c r="E4" s="20" t="s">
        <v>2</v>
      </c>
      <c r="F4" s="21"/>
      <c r="G4" s="22" t="s">
        <v>3</v>
      </c>
      <c r="H4" s="22" t="s">
        <v>4</v>
      </c>
      <c r="I4" s="20" t="s">
        <v>5</v>
      </c>
      <c r="J4" s="20"/>
      <c r="K4" s="20"/>
      <c r="L4" s="20" t="s">
        <v>6</v>
      </c>
      <c r="M4" s="20"/>
      <c r="N4" s="20"/>
      <c r="O4" s="20"/>
      <c r="P4" s="22" t="s">
        <v>7</v>
      </c>
      <c r="Q4" s="22" t="s">
        <v>8</v>
      </c>
    </row>
    <row r="5" spans="1:17" ht="124.5" customHeight="1" x14ac:dyDescent="0.25">
      <c r="A5" s="20"/>
      <c r="B5" s="23" t="s">
        <v>9</v>
      </c>
      <c r="C5" s="23" t="s">
        <v>10</v>
      </c>
      <c r="D5" s="23" t="s">
        <v>11</v>
      </c>
      <c r="E5" s="23" t="s">
        <v>12</v>
      </c>
      <c r="F5" s="23" t="s">
        <v>13</v>
      </c>
      <c r="G5" s="24"/>
      <c r="H5" s="25"/>
      <c r="I5" s="23" t="s">
        <v>14</v>
      </c>
      <c r="J5" s="23" t="s">
        <v>15</v>
      </c>
      <c r="K5" s="23" t="s">
        <v>16</v>
      </c>
      <c r="L5" s="23" t="s">
        <v>17</v>
      </c>
      <c r="M5" s="23" t="s">
        <v>18</v>
      </c>
      <c r="N5" s="23" t="s">
        <v>15</v>
      </c>
      <c r="O5" s="23" t="s">
        <v>16</v>
      </c>
      <c r="P5" s="24"/>
      <c r="Q5" s="24"/>
    </row>
    <row r="6" spans="1:17" x14ac:dyDescent="0.25">
      <c r="A6" s="10">
        <v>43922</v>
      </c>
      <c r="B6" s="2"/>
      <c r="C6" s="2"/>
      <c r="D6" s="2"/>
      <c r="E6" s="2"/>
      <c r="F6" s="2"/>
      <c r="G6" s="2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11">
        <v>43952</v>
      </c>
      <c r="B7" s="3">
        <v>618</v>
      </c>
      <c r="C7" s="3">
        <v>891.83</v>
      </c>
      <c r="D7" s="3">
        <v>530.80899999999997</v>
      </c>
      <c r="E7" s="3">
        <v>48156</v>
      </c>
      <c r="F7" s="3">
        <v>48.598376999999999</v>
      </c>
      <c r="G7" s="3">
        <v>85.004786999999993</v>
      </c>
      <c r="H7" s="6">
        <f t="shared" ref="H7:H18" si="0">F7/G7*100</f>
        <v>57.171341421042563</v>
      </c>
      <c r="I7" s="6">
        <v>3850.0464500000016</v>
      </c>
      <c r="J7" s="6"/>
      <c r="K7" s="6">
        <f>I7+J7</f>
        <v>3850.0464500000016</v>
      </c>
      <c r="L7" s="6">
        <v>3.64487841</v>
      </c>
      <c r="M7" s="6">
        <v>0.51079383</v>
      </c>
      <c r="N7" s="6"/>
      <c r="O7" s="6">
        <f>L7+M7</f>
        <v>4.1556722400000004</v>
      </c>
      <c r="P7" s="6">
        <v>7.2821674999999999</v>
      </c>
      <c r="Q7" s="6">
        <f t="shared" ref="Q7:Q18" si="1">O7/P7*100</f>
        <v>57.066419304417273</v>
      </c>
    </row>
    <row r="8" spans="1:17" x14ac:dyDescent="0.25">
      <c r="A8" s="10">
        <v>43983</v>
      </c>
      <c r="B8" s="2">
        <v>3457</v>
      </c>
      <c r="C8" s="2">
        <v>5251.33</v>
      </c>
      <c r="D8" s="2">
        <v>3238</v>
      </c>
      <c r="E8" s="2">
        <v>334104</v>
      </c>
      <c r="F8" s="2">
        <v>362.21600000000001</v>
      </c>
      <c r="G8" s="2">
        <v>532.54499999999996</v>
      </c>
      <c r="H8" s="5">
        <f t="shared" si="0"/>
        <v>68.016036203513323</v>
      </c>
      <c r="I8" s="5">
        <v>5965.9480680807301</v>
      </c>
      <c r="J8" s="5"/>
      <c r="K8" s="8">
        <f t="shared" ref="K8:K17" si="2">I8+J8</f>
        <v>5965.9480680807301</v>
      </c>
      <c r="L8" s="5">
        <v>27.166</v>
      </c>
      <c r="M8" s="5">
        <v>2.927</v>
      </c>
      <c r="N8" s="5"/>
      <c r="O8" s="8">
        <f t="shared" ref="O8:O17" si="3">L8+M8</f>
        <v>30.093</v>
      </c>
      <c r="P8" s="5">
        <v>45.994999999999997</v>
      </c>
      <c r="Q8" s="5">
        <f t="shared" si="1"/>
        <v>65.426676812697039</v>
      </c>
    </row>
    <row r="9" spans="1:17" x14ac:dyDescent="0.25">
      <c r="A9" s="11">
        <v>44013</v>
      </c>
      <c r="B9" s="3">
        <v>3548</v>
      </c>
      <c r="C9" s="3">
        <v>5064.583333333333</v>
      </c>
      <c r="D9" s="3">
        <v>3062.99</v>
      </c>
      <c r="E9" s="3">
        <v>331197</v>
      </c>
      <c r="F9" s="3">
        <v>342.58669199999997</v>
      </c>
      <c r="G9" s="3">
        <v>489.13054199999999</v>
      </c>
      <c r="H9" s="6">
        <f t="shared" si="0"/>
        <v>70.039930567247211</v>
      </c>
      <c r="I9" s="6">
        <v>2863.5950399999997</v>
      </c>
      <c r="J9" s="6"/>
      <c r="K9" s="6">
        <f t="shared" si="2"/>
        <v>2863.5950399999997</v>
      </c>
      <c r="L9" s="6">
        <v>25.694002100000002</v>
      </c>
      <c r="M9" s="6">
        <v>3.2548686400000002</v>
      </c>
      <c r="N9" s="6"/>
      <c r="O9" s="6">
        <f t="shared" si="3"/>
        <v>28.948870740000004</v>
      </c>
      <c r="P9" s="6">
        <v>42.487529000000002</v>
      </c>
      <c r="Q9" s="6">
        <f t="shared" si="1"/>
        <v>68.13498318530128</v>
      </c>
    </row>
    <row r="10" spans="1:17" x14ac:dyDescent="0.25">
      <c r="A10" s="10">
        <v>44044</v>
      </c>
      <c r="B10" s="2">
        <v>3937</v>
      </c>
      <c r="C10" s="2">
        <v>5525.1333333333332</v>
      </c>
      <c r="D10" s="2">
        <v>3368.3009999999999</v>
      </c>
      <c r="E10" s="2">
        <v>390885</v>
      </c>
      <c r="F10" s="2">
        <v>406.98887500000001</v>
      </c>
      <c r="G10" s="2">
        <v>535.16092400000002</v>
      </c>
      <c r="H10" s="5">
        <f t="shared" si="0"/>
        <v>76.049811701124867</v>
      </c>
      <c r="I10" s="5">
        <v>3533.4080800000002</v>
      </c>
      <c r="J10" s="5"/>
      <c r="K10" s="8">
        <f t="shared" si="2"/>
        <v>3533.4080800000002</v>
      </c>
      <c r="L10" s="5">
        <v>30.52416582499999</v>
      </c>
      <c r="M10" s="5">
        <v>4.0366476200000028</v>
      </c>
      <c r="N10" s="5"/>
      <c r="O10" s="8">
        <f t="shared" si="3"/>
        <v>34.560813444999994</v>
      </c>
      <c r="P10" s="5">
        <v>46.545806499999998</v>
      </c>
      <c r="Q10" s="5">
        <f t="shared" si="1"/>
        <v>74.251186183657595</v>
      </c>
    </row>
    <row r="11" spans="1:17" x14ac:dyDescent="0.25">
      <c r="A11" s="11">
        <v>44075</v>
      </c>
      <c r="B11" s="3">
        <v>5410</v>
      </c>
      <c r="C11" s="3">
        <v>8035.6166666666668</v>
      </c>
      <c r="D11" s="3">
        <v>4827.9780000000001</v>
      </c>
      <c r="E11" s="3">
        <v>529758</v>
      </c>
      <c r="F11" s="3">
        <v>560.60219799999993</v>
      </c>
      <c r="G11" s="3">
        <v>767.945381</v>
      </c>
      <c r="H11" s="6">
        <f t="shared" si="0"/>
        <v>73.000269533491718</v>
      </c>
      <c r="I11" s="6">
        <v>5059.449580000005</v>
      </c>
      <c r="J11" s="6"/>
      <c r="K11" s="6">
        <f t="shared" si="2"/>
        <v>5059.449580000005</v>
      </c>
      <c r="L11" s="6">
        <v>42.196776280000002</v>
      </c>
      <c r="M11" s="6">
        <v>5.9265556500000098</v>
      </c>
      <c r="N11" s="6"/>
      <c r="O11" s="6">
        <f t="shared" si="3"/>
        <v>48.123331930000013</v>
      </c>
      <c r="P11" s="6">
        <v>66.694727</v>
      </c>
      <c r="Q11" s="6">
        <f t="shared" si="1"/>
        <v>72.154627651448394</v>
      </c>
    </row>
    <row r="12" spans="1:17" x14ac:dyDescent="0.25">
      <c r="A12" s="10">
        <v>44105</v>
      </c>
      <c r="B12" s="2">
        <v>6837</v>
      </c>
      <c r="C12" s="2">
        <v>10229.67</v>
      </c>
      <c r="D12" s="2">
        <v>6203.8339999999998</v>
      </c>
      <c r="E12" s="2">
        <v>704498</v>
      </c>
      <c r="F12" s="2">
        <v>732.30164200000002</v>
      </c>
      <c r="G12" s="2">
        <v>989.61641500000007</v>
      </c>
      <c r="H12" s="5">
        <f t="shared" si="0"/>
        <v>73.998534270472859</v>
      </c>
      <c r="I12" s="5">
        <v>5711.3699900000038</v>
      </c>
      <c r="J12" s="5"/>
      <c r="K12" s="8">
        <f t="shared" si="2"/>
        <v>5711.3699900000038</v>
      </c>
      <c r="L12" s="5">
        <v>54.922623560000105</v>
      </c>
      <c r="M12" s="5">
        <v>6.8578723400000001</v>
      </c>
      <c r="N12" s="5"/>
      <c r="O12" s="8">
        <f t="shared" si="3"/>
        <v>61.780495900000105</v>
      </c>
      <c r="P12" s="5">
        <v>86.036738500000013</v>
      </c>
      <c r="Q12" s="5">
        <f t="shared" si="1"/>
        <v>71.807110517096248</v>
      </c>
    </row>
    <row r="13" spans="1:17" x14ac:dyDescent="0.25">
      <c r="A13" s="11">
        <v>44136</v>
      </c>
      <c r="B13" s="3">
        <v>7813</v>
      </c>
      <c r="C13" s="3">
        <v>11695.916666666666</v>
      </c>
      <c r="D13" s="3">
        <v>7055.1779999999999</v>
      </c>
      <c r="E13" s="3">
        <v>839523</v>
      </c>
      <c r="F13" s="3">
        <v>871.55589300000008</v>
      </c>
      <c r="G13" s="3">
        <v>1121.0066399999998</v>
      </c>
      <c r="H13" s="6">
        <f t="shared" si="0"/>
        <v>77.747612003440068</v>
      </c>
      <c r="I13" s="6">
        <v>4932.4241800000018</v>
      </c>
      <c r="J13" s="6"/>
      <c r="K13" s="6">
        <f t="shared" si="2"/>
        <v>4932.4241800000018</v>
      </c>
      <c r="L13" s="6">
        <v>65.364156545000156</v>
      </c>
      <c r="M13" s="6">
        <v>5.804372139999999</v>
      </c>
      <c r="N13" s="6"/>
      <c r="O13" s="6">
        <f t="shared" si="3"/>
        <v>71.168528685000155</v>
      </c>
      <c r="P13" s="6">
        <v>97.701592500000004</v>
      </c>
      <c r="Q13" s="6">
        <f t="shared" si="1"/>
        <v>72.842751959237674</v>
      </c>
    </row>
    <row r="14" spans="1:17" x14ac:dyDescent="0.25">
      <c r="A14" s="10">
        <v>44166</v>
      </c>
      <c r="B14" s="2">
        <v>8719</v>
      </c>
      <c r="C14" s="2">
        <v>13577.7</v>
      </c>
      <c r="D14" s="2">
        <v>8131.5709999999999</v>
      </c>
      <c r="E14" s="2">
        <v>951550</v>
      </c>
      <c r="F14" s="2">
        <v>999.56545600000004</v>
      </c>
      <c r="G14" s="2">
        <v>1281.416105</v>
      </c>
      <c r="H14" s="5">
        <f t="shared" si="0"/>
        <v>78.004752094168509</v>
      </c>
      <c r="I14" s="5">
        <v>5381.862819788671</v>
      </c>
      <c r="J14" s="5"/>
      <c r="K14" s="8">
        <f t="shared" si="2"/>
        <v>5381.862819788671</v>
      </c>
      <c r="L14" s="5">
        <v>74.967409559999965</v>
      </c>
      <c r="M14" s="5">
        <v>6.3209403400000017</v>
      </c>
      <c r="N14" s="5"/>
      <c r="O14" s="8">
        <f t="shared" si="3"/>
        <v>81.288349899999972</v>
      </c>
      <c r="P14" s="5">
        <v>111.61993249999999</v>
      </c>
      <c r="Q14" s="5">
        <f t="shared" si="1"/>
        <v>72.826015998531417</v>
      </c>
    </row>
    <row r="15" spans="1:17" x14ac:dyDescent="0.25">
      <c r="A15" s="11">
        <v>44197</v>
      </c>
      <c r="B15" s="3">
        <v>9166</v>
      </c>
      <c r="C15" s="3">
        <v>14272.283333333333</v>
      </c>
      <c r="D15" s="3">
        <v>8574.1560000000009</v>
      </c>
      <c r="E15" s="3">
        <v>991883</v>
      </c>
      <c r="F15" s="3">
        <v>1042.368244</v>
      </c>
      <c r="G15" s="3">
        <v>1361.661376</v>
      </c>
      <c r="H15" s="6">
        <f t="shared" si="0"/>
        <v>76.551208866777756</v>
      </c>
      <c r="I15" s="6">
        <v>5863.6097999999965</v>
      </c>
      <c r="J15" s="6"/>
      <c r="K15" s="6">
        <f t="shared" si="2"/>
        <v>5863.6097999999965</v>
      </c>
      <c r="L15" s="6">
        <v>78.179687125000001</v>
      </c>
      <c r="M15" s="6">
        <v>6.9142342339999994</v>
      </c>
      <c r="N15" s="6"/>
      <c r="O15" s="6">
        <f t="shared" si="3"/>
        <v>85.093921359000007</v>
      </c>
      <c r="P15" s="6">
        <v>118.494653</v>
      </c>
      <c r="Q15" s="6">
        <f t="shared" si="1"/>
        <v>71.812456684437905</v>
      </c>
    </row>
    <row r="16" spans="1:17" x14ac:dyDescent="0.25">
      <c r="A16" s="10">
        <v>44228</v>
      </c>
      <c r="B16" s="2">
        <v>8752</v>
      </c>
      <c r="C16" s="2">
        <v>13370.05</v>
      </c>
      <c r="D16" s="2">
        <v>7962.7150000000001</v>
      </c>
      <c r="E16" s="2">
        <v>962081</v>
      </c>
      <c r="F16" s="2">
        <v>991.22537499999999</v>
      </c>
      <c r="G16" s="2">
        <v>1256.5100619999998</v>
      </c>
      <c r="H16" s="5">
        <f t="shared" si="0"/>
        <v>78.887181645187667</v>
      </c>
      <c r="I16" s="5">
        <v>5743.0540400000073</v>
      </c>
      <c r="J16" s="5"/>
      <c r="K16" s="8">
        <f t="shared" si="2"/>
        <v>5743.0540400000073</v>
      </c>
      <c r="L16" s="5">
        <v>74.346115525000002</v>
      </c>
      <c r="M16" s="5">
        <v>6.7090249107399904</v>
      </c>
      <c r="N16" s="5"/>
      <c r="O16" s="8">
        <f>L16+M16</f>
        <v>81.055140435739986</v>
      </c>
      <c r="P16" s="5">
        <v>109.37024049999999</v>
      </c>
      <c r="Q16" s="5">
        <f t="shared" si="1"/>
        <v>74.11078193225697</v>
      </c>
    </row>
    <row r="17" spans="1:17" x14ac:dyDescent="0.25">
      <c r="A17" s="11">
        <v>44256</v>
      </c>
      <c r="B17" s="3">
        <v>9520</v>
      </c>
      <c r="C17" s="3">
        <v>14443.9</v>
      </c>
      <c r="D17" s="3">
        <v>8630.777</v>
      </c>
      <c r="E17" s="3">
        <v>1002950</v>
      </c>
      <c r="F17" s="3">
        <v>1038.9413950000001</v>
      </c>
      <c r="G17" s="3">
        <v>1357.405945</v>
      </c>
      <c r="H17" s="6">
        <f t="shared" si="0"/>
        <v>76.538739116838045</v>
      </c>
      <c r="I17" s="6">
        <v>5515.5575299999991</v>
      </c>
      <c r="J17" s="6"/>
      <c r="K17" s="6">
        <f t="shared" si="2"/>
        <v>5515.5575299999991</v>
      </c>
      <c r="L17" s="6">
        <v>77.908646050000002</v>
      </c>
      <c r="M17" s="6">
        <v>6.3897406492200002</v>
      </c>
      <c r="N17" s="6"/>
      <c r="O17" s="6">
        <f t="shared" si="3"/>
        <v>84.298386699220003</v>
      </c>
      <c r="P17" s="6">
        <v>118.177347</v>
      </c>
      <c r="Q17" s="6">
        <f>O17/P17*100</f>
        <v>71.332102843043174</v>
      </c>
    </row>
    <row r="18" spans="1:17" ht="30" x14ac:dyDescent="0.25">
      <c r="A18" s="1" t="s">
        <v>23</v>
      </c>
      <c r="B18" s="4">
        <f>SUM(B6:B17)</f>
        <v>67777</v>
      </c>
      <c r="C18" s="4">
        <f t="shared" ref="C18:G18" si="4">SUM(C6:C17)</f>
        <v>102358.01333333332</v>
      </c>
      <c r="D18" s="4">
        <f t="shared" si="4"/>
        <v>61586.309000000008</v>
      </c>
      <c r="E18" s="4">
        <f t="shared" si="4"/>
        <v>7086585</v>
      </c>
      <c r="F18" s="4">
        <f t="shared" si="4"/>
        <v>7396.9501470000005</v>
      </c>
      <c r="G18" s="4">
        <f t="shared" si="4"/>
        <v>9777.4031770000001</v>
      </c>
      <c r="H18" s="7">
        <f t="shared" si="0"/>
        <v>75.653524899129778</v>
      </c>
      <c r="I18" s="7">
        <f t="shared" ref="I18:P18" si="5">SUM(I6:I17)</f>
        <v>54420.325577869415</v>
      </c>
      <c r="J18" s="7"/>
      <c r="K18" s="7">
        <f t="shared" si="5"/>
        <v>54420.325577869415</v>
      </c>
      <c r="L18" s="7">
        <f t="shared" si="5"/>
        <v>554.91446098000017</v>
      </c>
      <c r="M18" s="7">
        <f t="shared" si="5"/>
        <v>55.65205035396</v>
      </c>
      <c r="N18" s="7"/>
      <c r="O18" s="7">
        <f t="shared" si="5"/>
        <v>610.56651133396019</v>
      </c>
      <c r="P18" s="7">
        <f t="shared" si="5"/>
        <v>850.40573399999994</v>
      </c>
      <c r="Q18" s="7">
        <f t="shared" si="1"/>
        <v>71.797083077283233</v>
      </c>
    </row>
    <row r="19" spans="1:17" x14ac:dyDescent="0.25">
      <c r="A19" s="12" t="s">
        <v>21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4"/>
    </row>
    <row r="21" spans="1:17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2022-04-26T05:52:58Z</cp:lastPrinted>
  <dcterms:created xsi:type="dcterms:W3CDTF">2018-10-29T04:00:07Z</dcterms:created>
  <dcterms:modified xsi:type="dcterms:W3CDTF">2022-04-26T05:55:48Z</dcterms:modified>
</cp:coreProperties>
</file>