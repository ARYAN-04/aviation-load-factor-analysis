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omestic final\EXCELs\AIR INDIA\"/>
    </mc:Choice>
  </mc:AlternateContent>
  <bookViews>
    <workbookView showHorizontalScroll="0" showVerticalScroll="0" xWindow="-120" yWindow="-120" windowWidth="20730" windowHeight="11160"/>
  </bookViews>
  <sheets>
    <sheet name="AIR INDIA " sheetId="1" r:id="rId1"/>
  </sheets>
  <definedNames>
    <definedName name="_xlnm.Print_Area" localSheetId="0">'AIR INDIA '!$A$1:$Q$19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8" i="1" l="1"/>
  <c r="Q17" i="1"/>
  <c r="Q16" i="1"/>
  <c r="Q15" i="1"/>
  <c r="Q14" i="1"/>
  <c r="Q13" i="1"/>
  <c r="Q12" i="1"/>
  <c r="Q11" i="1"/>
  <c r="Q10" i="1"/>
  <c r="Q9" i="1"/>
  <c r="Q8" i="1"/>
  <c r="Q7" i="1"/>
  <c r="Q6" i="1"/>
  <c r="H7" i="1"/>
  <c r="H8" i="1"/>
  <c r="H9" i="1"/>
  <c r="H10" i="1"/>
  <c r="H11" i="1"/>
  <c r="H12" i="1"/>
  <c r="H13" i="1"/>
  <c r="H14" i="1"/>
  <c r="H15" i="1"/>
  <c r="H16" i="1"/>
  <c r="H17" i="1"/>
  <c r="H18" i="1"/>
  <c r="H6" i="1"/>
  <c r="B18" i="1" l="1"/>
  <c r="C18" i="1"/>
  <c r="D18" i="1"/>
  <c r="E18" i="1"/>
  <c r="F18" i="1"/>
  <c r="G18" i="1"/>
  <c r="I18" i="1" l="1"/>
  <c r="J18" i="1"/>
  <c r="K18" i="1"/>
  <c r="L18" i="1"/>
  <c r="M18" i="1"/>
  <c r="N18" i="1"/>
  <c r="O18" i="1"/>
  <c r="P18" i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<sst xmlns="http://schemas.openxmlformats.org/spreadsheetml/2006/main" count="26" uniqueCount="24">
  <si>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</si>
  <si>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</si>
  <si>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</si>
  <si>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</si>
  <si>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</si>
  <si>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</si>
  <si>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</si>
  <si>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</si>
  <si>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</si>
  <si>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</si>
  <si>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</si>
  <si>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</si>
  <si>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</si>
  <si>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</si>
  <si>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</si>
  <si>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</si>
  <si>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</si>
  <si>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</si>
  <si>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</si>
  <si>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2018-19</t>
  </si>
  <si>
    <t xml:space="preserve">तालिका - 1.02 (एयर इंडिया) </t>
  </si>
  <si>
    <t>Table 1.02 (AIR INDIA)</t>
  </si>
  <si>
    <t>SOURCE:-  ICAO ATR FORM 'A' FURNISHED BY AIR INDIA</t>
  </si>
  <si>
    <t>MONTHLY TRAFFIC AND OPERATING STATISTICS OF AIR INDIA ON SCHEDULED INTERNATIONAL SERVICES DURING 2018-19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</si>
</sst>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0.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</cellStyleXfs>
  <cellXfs count="23">
    <xf numFmtId="0" fontId="0" fillId="0" borderId="0" xfId="0"/>
    <xf numFmtId="0" fontId="0" fillId="0" borderId="0" xfId="0" applyFont="1"/>
    <xf numFmtId="17" fontId="2" fillId="2" borderId="1" xfId="0" applyNumberFormat="1" applyFont="1" applyFill="1" applyBorder="1" applyAlignment="1" applyProtection="1">
      <alignment horizontal="center" vertical="center" wrapText="1"/>
    </xf>
    <xf numFmtId="164" fontId="5" fillId="0" borderId="1" xfId="1" applyNumberFormat="1" applyFont="1" applyFill="1" applyBorder="1" applyAlignment="1">
      <alignment horizontal="right" vertical="center"/>
    </xf>
    <xf numFmtId="165" fontId="5" fillId="0" borderId="1" xfId="1" applyNumberFormat="1" applyFont="1" applyFill="1" applyBorder="1" applyAlignment="1">
      <alignment horizontal="right" vertical="center"/>
    </xf>
    <xf numFmtId="0" fontId="4" fillId="3" borderId="1" xfId="2" applyBorder="1" applyAlignment="1" applyProtection="1">
      <alignment horizontal="center" vertical="center" textRotation="90" wrapText="1"/>
    </xf>
    <xf numFmtId="17" fontId="3" fillId="5" borderId="1" xfId="4" applyNumberFormat="1" applyBorder="1" applyAlignment="1" applyProtection="1">
      <alignment horizontal="center" vertical="center" wrapText="1"/>
    </xf>
    <xf numFmtId="164" fontId="3" fillId="5" borderId="1" xfId="4" applyNumberFormat="1" applyBorder="1" applyAlignment="1">
      <alignment horizontal="right" vertical="center"/>
    </xf>
    <xf numFmtId="165" fontId="3" fillId="5" borderId="1" xfId="4" applyNumberFormat="1" applyBorder="1" applyAlignment="1">
      <alignment horizontal="right" vertical="center"/>
    </xf>
    <xf numFmtId="166" fontId="3" fillId="4" borderId="1" xfId="3" applyNumberFormat="1" applyBorder="1" applyAlignment="1" applyProtection="1">
      <alignment horizontal="center" vertical="center" wrapText="1"/>
    </xf>
    <xf numFmtId="166" fontId="6" fillId="4" borderId="1" xfId="3" applyNumberFormat="1" applyFont="1" applyBorder="1" applyAlignment="1" applyProtection="1">
      <alignment horizontal="center" vertical="center" wrapText="1"/>
    </xf>
    <xf numFmtId="0" fontId="6" fillId="5" borderId="1" xfId="4" applyFont="1" applyBorder="1" applyAlignment="1" applyProtection="1">
      <alignment horizontal="center" vertical="center" wrapText="1"/>
    </xf>
    <xf numFmtId="164" fontId="6" fillId="5" borderId="1" xfId="4" applyNumberFormat="1" applyFont="1" applyBorder="1" applyAlignment="1" applyProtection="1">
      <alignment horizontal="right" vertical="center" wrapText="1"/>
    </xf>
    <xf numFmtId="165" fontId="6" fillId="5" borderId="1" xfId="4" applyNumberFormat="1" applyFont="1" applyBorder="1" applyAlignment="1" applyProtection="1">
      <alignment horizontal="right" vertical="center" wrapText="1"/>
    </xf>
    <xf numFmtId="0" fontId="4" fillId="3" borderId="1" xfId="2" applyBorder="1" applyAlignment="1" applyProtection="1">
      <alignment horizontal="center" vertical="center" textRotation="90" wrapText="1"/>
    </xf>
    <xf numFmtId="0" fontId="4" fillId="3" borderId="1" xfId="2" applyBorder="1" applyAlignment="1">
      <alignment textRotation="90"/>
    </xf>
    <xf numFmtId="0" fontId="1" fillId="2" borderId="1" xfId="0" applyFont="1" applyFill="1" applyBorder="1" applyAlignment="1" applyProtection="1">
      <alignment horizontal="left" vertical="center" wrapText="1"/>
    </xf>
    <xf numFmtId="0" fontId="0" fillId="5" borderId="1" xfId="4" applyFont="1" applyBorder="1" applyAlignment="1">
      <alignment horizontal="center" vertical="center" wrapText="1"/>
    </xf>
    <xf numFmtId="0" fontId="3" fillId="5" borderId="1" xfId="4" applyBorder="1" applyAlignment="1">
      <alignment horizontal="center" vertical="center" wrapText="1"/>
    </xf>
    <xf numFmtId="0" fontId="0" fillId="5" borderId="1" xfId="4" quotePrefix="1" applyFont="1" applyBorder="1" applyAlignment="1" applyProtection="1">
      <alignment horizontal="center" vertical="center" wrapText="1"/>
    </xf>
    <xf numFmtId="0" fontId="3" fillId="5" borderId="1" xfId="4" applyBorder="1"/>
    <xf numFmtId="0" fontId="4" fillId="3" borderId="1" xfId="2" applyBorder="1" applyAlignment="1" applyProtection="1">
      <alignment horizontal="center" vertical="center" wrapText="1"/>
    </xf>
    <xf numFmtId="0" fontId="4" fillId="3" borderId="1" xfId="2" applyBorder="1"/>
  </cellXfs>
  <cellStyles count="5">
    <cellStyle name="20% - Accent6" xfId="3" builtinId="50"/>
    <cellStyle name="40% - Accent6" xfId="4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Q19"/>
  <sheetViews>
    <sheetView tabSelected="1" view="pageBreakPreview" zoomScaleSheetLayoutView="100" workbookViewId="0">
      <selection activeCell="F9" sqref="F9"/>
    </sheetView>
  </sheetViews>
  <sheetFormatPr defaultRowHeight="15" x14ac:dyDescent="0.25"/>
  <cols>
    <col min="1" max="1" width="9.28515625" style="1" customWidth="1"/>
    <col min="2" max="2" width="7.7109375" style="1" customWidth="1"/>
    <col min="3" max="4" width="8.42578125" style="1" customWidth="1"/>
    <col min="5" max="5" width="10.140625" style="1" customWidth="1"/>
    <col min="6" max="6" width="7.140625" style="1" customWidth="1"/>
    <col min="7" max="7" width="7.85546875" style="1" customWidth="1"/>
    <col min="8" max="8" width="7.5703125" style="1" customWidth="1"/>
    <col min="9" max="9" width="9.7109375" style="1" customWidth="1"/>
    <col min="10" max="10" width="8.42578125" style="1" customWidth="1"/>
    <col min="11" max="11" width="10.7109375" style="1" customWidth="1"/>
    <col min="12" max="12" width="9.5703125" style="1" customWidth="1"/>
    <col min="13" max="13" width="10.140625" style="1" customWidth="1"/>
    <col min="14" max="14" width="7.5703125" style="1" customWidth="1"/>
    <col min="15" max="15" width="10.5703125" style="1" customWidth="1"/>
    <col min="16" max="16" width="11" style="1" customWidth="1"/>
    <col min="17" max="17" width="7.7109375" style="1" customWidth="1"/>
    <col min="18" max="16384" width="9.140625" style="1"/>
  </cols>
  <sheetData>
    <row r="1" spans="1:17" ht="18.75" customHeight="1" x14ac:dyDescent="0.25">
      <c r="A1" s="17" t="s">
        <v>20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18.75" customHeight="1" x14ac:dyDescent="0.25">
      <c r="A2" s="19" t="s">
        <v>21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ht="18.75" customHeight="1" x14ac:dyDescent="0.25">
      <c r="A3" s="21" t="s">
        <v>23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1:17" x14ac:dyDescent="0.25">
      <c r="A4" s="21" t="s">
        <v>0</v>
      </c>
      <c r="B4" s="21" t="s">
        <v>1</v>
      </c>
      <c r="C4" s="21"/>
      <c r="D4" s="21"/>
      <c r="E4" s="21" t="s">
        <v>2</v>
      </c>
      <c r="F4" s="22"/>
      <c r="G4" s="14" t="s">
        <v>3</v>
      </c>
      <c r="H4" s="14" t="s">
        <v>4</v>
      </c>
      <c r="I4" s="21" t="s">
        <v>5</v>
      </c>
      <c r="J4" s="21"/>
      <c r="K4" s="21"/>
      <c r="L4" s="21" t="s">
        <v>6</v>
      </c>
      <c r="M4" s="21"/>
      <c r="N4" s="21"/>
      <c r="O4" s="21"/>
      <c r="P4" s="14" t="s">
        <v>7</v>
      </c>
      <c r="Q4" s="14" t="s">
        <v>8</v>
      </c>
    </row>
    <row r="5" spans="1:17" ht="128.25" customHeight="1" x14ac:dyDescent="0.25">
      <c r="A5" s="21"/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15"/>
      <c r="H5" s="15"/>
      <c r="I5" s="5" t="s">
        <v>14</v>
      </c>
      <c r="J5" s="5" t="s">
        <v>15</v>
      </c>
      <c r="K5" s="5" t="s">
        <v>16</v>
      </c>
      <c r="L5" s="5" t="s">
        <v>17</v>
      </c>
      <c r="M5" s="5" t="s">
        <v>18</v>
      </c>
      <c r="N5" s="5" t="s">
        <v>15</v>
      </c>
      <c r="O5" s="5" t="s">
        <v>16</v>
      </c>
      <c r="P5" s="15"/>
      <c r="Q5" s="15"/>
    </row>
    <row r="6" spans="1:17" ht="30" customHeight="1" x14ac:dyDescent="0.25">
      <c r="A6" s="6">
        <v>43191</v>
      </c>
      <c r="B6" s="7">
        <v>3324</v>
      </c>
      <c r="C6" s="7">
        <v>19344.2</v>
      </c>
      <c r="D6" s="7">
        <v>21263.1</v>
      </c>
      <c r="E6" s="7">
        <v>568627</v>
      </c>
      <c r="F6" s="7">
        <v>2718.2105999999999</v>
      </c>
      <c r="G6" s="7">
        <v>3527.1374999999998</v>
      </c>
      <c r="H6" s="9">
        <f t="shared" ref="H6:H18" si="0">F6/G6*100</f>
        <v>77.065626162858692</v>
      </c>
      <c r="I6" s="8">
        <v>11742.9</v>
      </c>
      <c r="J6" s="8">
        <v>310.37599999999998</v>
      </c>
      <c r="K6" s="8">
        <v>12053.276</v>
      </c>
      <c r="L6" s="8">
        <v>266.6789</v>
      </c>
      <c r="M6" s="8">
        <v>63.207599999999999</v>
      </c>
      <c r="N6" s="8">
        <v>2.0358000000000001</v>
      </c>
      <c r="O6" s="8">
        <v>331.92230000000001</v>
      </c>
      <c r="P6" s="8">
        <v>506.46290000000005</v>
      </c>
      <c r="Q6" s="9">
        <f t="shared" ref="Q6:Q18" si="1">O6/P6*100</f>
        <v>65.537337483160158</v>
      </c>
    </row>
    <row r="7" spans="1:17" ht="30" customHeight="1" x14ac:dyDescent="0.25">
      <c r="A7" s="2">
        <v>43221</v>
      </c>
      <c r="B7" s="3">
        <v>3424</v>
      </c>
      <c r="C7" s="3">
        <v>19984.599999999999</v>
      </c>
      <c r="D7" s="3">
        <v>22133.4</v>
      </c>
      <c r="E7" s="3">
        <v>580708</v>
      </c>
      <c r="F7" s="3">
        <v>2799.0093999999999</v>
      </c>
      <c r="G7" s="3">
        <v>3667.7583</v>
      </c>
      <c r="H7" s="9">
        <f t="shared" si="0"/>
        <v>76.313899964455118</v>
      </c>
      <c r="I7" s="4">
        <v>11215.7</v>
      </c>
      <c r="J7" s="4">
        <v>327</v>
      </c>
      <c r="K7" s="4">
        <v>11542.7</v>
      </c>
      <c r="L7" s="4">
        <v>273.44190000000003</v>
      </c>
      <c r="M7" s="4">
        <v>59.828000000000003</v>
      </c>
      <c r="N7" s="4">
        <v>2.1934</v>
      </c>
      <c r="O7" s="4">
        <v>335.46330000000006</v>
      </c>
      <c r="P7" s="4">
        <v>528.41600000000005</v>
      </c>
      <c r="Q7" s="9">
        <f t="shared" si="1"/>
        <v>63.484697662447772</v>
      </c>
    </row>
    <row r="8" spans="1:17" ht="30" customHeight="1" x14ac:dyDescent="0.25">
      <c r="A8" s="6">
        <v>43252</v>
      </c>
      <c r="B8" s="7">
        <v>3343</v>
      </c>
      <c r="C8" s="7">
        <v>19476.5</v>
      </c>
      <c r="D8" s="7">
        <v>21561</v>
      </c>
      <c r="E8" s="7">
        <v>559293</v>
      </c>
      <c r="F8" s="7">
        <v>2827.4402</v>
      </c>
      <c r="G8" s="7">
        <v>3594.3065000000001</v>
      </c>
      <c r="H8" s="9">
        <f t="shared" si="0"/>
        <v>78.664415513813296</v>
      </c>
      <c r="I8" s="8">
        <v>10575.6</v>
      </c>
      <c r="J8" s="8">
        <v>304.5</v>
      </c>
      <c r="K8" s="8">
        <v>10880.1</v>
      </c>
      <c r="L8" s="8">
        <v>276.96679999999998</v>
      </c>
      <c r="M8" s="8">
        <v>57.592599999999997</v>
      </c>
      <c r="N8" s="8">
        <v>2.0005000000000002</v>
      </c>
      <c r="O8" s="8">
        <v>336.55989999999997</v>
      </c>
      <c r="P8" s="8">
        <v>517.9443</v>
      </c>
      <c r="Q8" s="9">
        <f t="shared" si="1"/>
        <v>64.979940893258203</v>
      </c>
    </row>
    <row r="9" spans="1:17" ht="30" customHeight="1" x14ac:dyDescent="0.25">
      <c r="A9" s="2">
        <v>43282</v>
      </c>
      <c r="B9" s="3">
        <v>3314</v>
      </c>
      <c r="C9" s="3">
        <v>19537.8</v>
      </c>
      <c r="D9" s="3">
        <v>21636.799999999999</v>
      </c>
      <c r="E9" s="3">
        <v>537174</v>
      </c>
      <c r="F9" s="3">
        <v>2815.8274000000001</v>
      </c>
      <c r="G9" s="3">
        <v>3569.3657000000003</v>
      </c>
      <c r="H9" s="9">
        <f t="shared" si="0"/>
        <v>78.888733648110076</v>
      </c>
      <c r="I9" s="4">
        <v>12145.5</v>
      </c>
      <c r="J9" s="4">
        <v>325.39999999999998</v>
      </c>
      <c r="K9" s="4">
        <v>12470.9</v>
      </c>
      <c r="L9" s="4">
        <v>279.6927</v>
      </c>
      <c r="M9" s="4">
        <v>66.392899999999997</v>
      </c>
      <c r="N9" s="4">
        <v>1.954955</v>
      </c>
      <c r="O9" s="4">
        <v>348.04055499999998</v>
      </c>
      <c r="P9" s="4">
        <v>517.70000000000005</v>
      </c>
      <c r="Q9" s="9">
        <f t="shared" si="1"/>
        <v>67.228231601313496</v>
      </c>
    </row>
    <row r="10" spans="1:17" ht="30" customHeight="1" x14ac:dyDescent="0.25">
      <c r="A10" s="6">
        <v>43313</v>
      </c>
      <c r="B10" s="7">
        <v>3243</v>
      </c>
      <c r="C10" s="7">
        <v>19290.169999999998</v>
      </c>
      <c r="D10" s="7">
        <v>21646.78</v>
      </c>
      <c r="E10" s="7">
        <v>542938</v>
      </c>
      <c r="F10" s="7">
        <v>2803.7991499999998</v>
      </c>
      <c r="G10" s="7">
        <v>3548.75513</v>
      </c>
      <c r="H10" s="9">
        <f t="shared" si="0"/>
        <v>79.0079632797882</v>
      </c>
      <c r="I10" s="8">
        <v>12104.05</v>
      </c>
      <c r="J10" s="8">
        <v>393.85</v>
      </c>
      <c r="K10" s="8">
        <v>12497.9</v>
      </c>
      <c r="L10" s="8">
        <v>277.68695000000002</v>
      </c>
      <c r="M10" s="8">
        <v>67.250550000000004</v>
      </c>
      <c r="N10" s="8">
        <v>2.4351100000000003</v>
      </c>
      <c r="O10" s="8">
        <v>347.37261000000001</v>
      </c>
      <c r="P10" s="8">
        <v>516.37135999999998</v>
      </c>
      <c r="Q10" s="9">
        <f t="shared" si="1"/>
        <v>67.27185837727329</v>
      </c>
    </row>
    <row r="11" spans="1:17" ht="30" customHeight="1" x14ac:dyDescent="0.25">
      <c r="A11" s="2">
        <v>43344</v>
      </c>
      <c r="B11" s="3">
        <v>3134</v>
      </c>
      <c r="C11" s="3">
        <v>20613.332999999999</v>
      </c>
      <c r="D11" s="3">
        <v>18638.467000000001</v>
      </c>
      <c r="E11" s="3">
        <v>493010</v>
      </c>
      <c r="F11" s="3">
        <v>2486.7346030000003</v>
      </c>
      <c r="G11" s="3">
        <v>3406.6600099999996</v>
      </c>
      <c r="H11" s="9">
        <f t="shared" si="0"/>
        <v>72.996266011294765</v>
      </c>
      <c r="I11" s="4">
        <v>11953.075349999999</v>
      </c>
      <c r="J11" s="4">
        <v>434.82900000000001</v>
      </c>
      <c r="K11" s="4">
        <v>12387.904349999999</v>
      </c>
      <c r="L11" s="4">
        <v>245.064582</v>
      </c>
      <c r="M11" s="4">
        <v>67.483845252400002</v>
      </c>
      <c r="N11" s="4">
        <v>2.645397</v>
      </c>
      <c r="O11" s="4">
        <v>315.19382425239996</v>
      </c>
      <c r="P11" s="4">
        <v>494.90350703600001</v>
      </c>
      <c r="Q11" s="9">
        <f t="shared" si="1"/>
        <v>63.687935076498114</v>
      </c>
    </row>
    <row r="12" spans="1:17" ht="30" customHeight="1" x14ac:dyDescent="0.25">
      <c r="A12" s="6">
        <v>43374</v>
      </c>
      <c r="B12" s="7">
        <v>3441</v>
      </c>
      <c r="C12" s="7">
        <v>19961</v>
      </c>
      <c r="D12" s="7">
        <v>22001</v>
      </c>
      <c r="E12" s="7">
        <v>555307</v>
      </c>
      <c r="F12" s="7">
        <v>2728.32</v>
      </c>
      <c r="G12" s="7">
        <v>3678.752</v>
      </c>
      <c r="H12" s="9">
        <f t="shared" si="0"/>
        <v>74.164281799914761</v>
      </c>
      <c r="I12" s="8">
        <v>13364</v>
      </c>
      <c r="J12" s="8">
        <v>429.57600000000002</v>
      </c>
      <c r="K12" s="8">
        <v>13793.576000000001</v>
      </c>
      <c r="L12" s="8">
        <v>267.75599999999997</v>
      </c>
      <c r="M12" s="8">
        <v>74.917000000000002</v>
      </c>
      <c r="N12" s="8">
        <v>2.6349999999999998</v>
      </c>
      <c r="O12" s="8">
        <v>345.30799999999999</v>
      </c>
      <c r="P12" s="8">
        <v>529.86199999999997</v>
      </c>
      <c r="Q12" s="9">
        <f t="shared" si="1"/>
        <v>65.169421472005922</v>
      </c>
    </row>
    <row r="13" spans="1:17" ht="30" customHeight="1" x14ac:dyDescent="0.25">
      <c r="A13" s="2">
        <v>43405</v>
      </c>
      <c r="B13" s="3">
        <v>3389</v>
      </c>
      <c r="C13" s="3">
        <v>19572</v>
      </c>
      <c r="D13" s="3">
        <v>21445.489000000001</v>
      </c>
      <c r="E13" s="3">
        <v>581736</v>
      </c>
      <c r="F13" s="3">
        <v>2906.3739999999998</v>
      </c>
      <c r="G13" s="3">
        <v>3635.6116120000002</v>
      </c>
      <c r="H13" s="9">
        <f t="shared" si="0"/>
        <v>79.941817503469878</v>
      </c>
      <c r="I13" s="4">
        <v>12589.0864</v>
      </c>
      <c r="J13" s="4">
        <v>491.38499999999999</v>
      </c>
      <c r="K13" s="4">
        <v>13080.4714</v>
      </c>
      <c r="L13" s="4">
        <v>281.31780500000002</v>
      </c>
      <c r="M13" s="4">
        <v>70.936764999999994</v>
      </c>
      <c r="N13" s="4">
        <v>2.8160509999999999</v>
      </c>
      <c r="O13" s="4">
        <v>355.07062099999996</v>
      </c>
      <c r="P13" s="4">
        <v>523.04483900000002</v>
      </c>
      <c r="Q13" s="9">
        <f t="shared" si="1"/>
        <v>67.885312027713169</v>
      </c>
    </row>
    <row r="14" spans="1:17" ht="30" customHeight="1" x14ac:dyDescent="0.25">
      <c r="A14" s="6">
        <v>43435</v>
      </c>
      <c r="B14" s="7">
        <v>3546</v>
      </c>
      <c r="C14" s="7">
        <v>20897</v>
      </c>
      <c r="D14" s="7">
        <v>22373</v>
      </c>
      <c r="E14" s="7">
        <v>614108</v>
      </c>
      <c r="F14" s="7">
        <v>3089.3620000000001</v>
      </c>
      <c r="G14" s="7">
        <v>3875.1329999999998</v>
      </c>
      <c r="H14" s="9">
        <f t="shared" si="0"/>
        <v>79.722734677751717</v>
      </c>
      <c r="I14" s="8">
        <v>12575.588100000001</v>
      </c>
      <c r="J14" s="8">
        <v>549.91700000000003</v>
      </c>
      <c r="K14" s="8">
        <v>13125.5051</v>
      </c>
      <c r="L14" s="8">
        <v>314.42200000000003</v>
      </c>
      <c r="M14" s="8">
        <v>72.311000000000007</v>
      </c>
      <c r="N14" s="8">
        <v>3.2130000000000001</v>
      </c>
      <c r="O14" s="8">
        <v>389.94600000000003</v>
      </c>
      <c r="P14" s="8">
        <v>556.59</v>
      </c>
      <c r="Q14" s="9">
        <f t="shared" si="1"/>
        <v>70.059828599148389</v>
      </c>
    </row>
    <row r="15" spans="1:17" ht="30" customHeight="1" x14ac:dyDescent="0.25">
      <c r="A15" s="2">
        <v>43466</v>
      </c>
      <c r="B15" s="3">
        <v>3544</v>
      </c>
      <c r="C15" s="3">
        <v>22406</v>
      </c>
      <c r="D15" s="3">
        <v>21021</v>
      </c>
      <c r="E15" s="3">
        <v>624147</v>
      </c>
      <c r="F15" s="3">
        <v>3237.2856729999999</v>
      </c>
      <c r="G15" s="3">
        <v>3855.8697790000001</v>
      </c>
      <c r="H15" s="9">
        <f t="shared" si="0"/>
        <v>83.957339291670095</v>
      </c>
      <c r="I15" s="4">
        <v>10743.253000000001</v>
      </c>
      <c r="J15" s="4">
        <v>506.55399999999997</v>
      </c>
      <c r="K15" s="4">
        <v>11249.807000000001</v>
      </c>
      <c r="L15" s="4">
        <v>330.79864700000002</v>
      </c>
      <c r="M15" s="4">
        <v>59.729154999999999</v>
      </c>
      <c r="N15" s="4">
        <v>2.8373760000000003</v>
      </c>
      <c r="O15" s="4">
        <v>393.36517800000001</v>
      </c>
      <c r="P15" s="4">
        <v>554.84839999999997</v>
      </c>
      <c r="Q15" s="9">
        <f t="shared" si="1"/>
        <v>70.89597410752198</v>
      </c>
    </row>
    <row r="16" spans="1:17" ht="30" customHeight="1" x14ac:dyDescent="0.25">
      <c r="A16" s="6">
        <v>43497</v>
      </c>
      <c r="B16" s="7">
        <v>3243</v>
      </c>
      <c r="C16" s="7">
        <v>19299</v>
      </c>
      <c r="D16" s="7">
        <v>20537</v>
      </c>
      <c r="E16" s="7">
        <v>555271</v>
      </c>
      <c r="F16" s="7">
        <v>2800.95</v>
      </c>
      <c r="G16" s="7">
        <v>3508.0210000000002</v>
      </c>
      <c r="H16" s="9">
        <f t="shared" si="0"/>
        <v>79.844162848512013</v>
      </c>
      <c r="I16" s="8">
        <v>10643.017</v>
      </c>
      <c r="J16" s="8">
        <v>400.72399999999999</v>
      </c>
      <c r="K16" s="8">
        <v>11043.741</v>
      </c>
      <c r="L16" s="8">
        <v>285.101</v>
      </c>
      <c r="M16" s="8">
        <v>59.898000000000003</v>
      </c>
      <c r="N16" s="8">
        <v>2.2714180000000002</v>
      </c>
      <c r="O16" s="8">
        <v>347.27041800000001</v>
      </c>
      <c r="P16" s="8">
        <v>506.14800000000002</v>
      </c>
      <c r="Q16" s="9">
        <f t="shared" si="1"/>
        <v>68.610449512790723</v>
      </c>
    </row>
    <row r="17" spans="1:17" ht="30" customHeight="1" x14ac:dyDescent="0.25">
      <c r="A17" s="2">
        <v>43525</v>
      </c>
      <c r="B17" s="3">
        <v>3550</v>
      </c>
      <c r="C17" s="3">
        <v>21798</v>
      </c>
      <c r="D17" s="3">
        <v>23501</v>
      </c>
      <c r="E17" s="3">
        <v>591249</v>
      </c>
      <c r="F17" s="3">
        <v>2888.2339999999999</v>
      </c>
      <c r="G17" s="3">
        <v>3753.9490000000001</v>
      </c>
      <c r="H17" s="9">
        <f t="shared" si="0"/>
        <v>76.938551908936432</v>
      </c>
      <c r="I17" s="4">
        <v>12647.425999999999</v>
      </c>
      <c r="J17" s="4">
        <v>443.32900000000001</v>
      </c>
      <c r="K17" s="4">
        <v>13090.754999999999</v>
      </c>
      <c r="L17" s="4">
        <v>293.22899999999998</v>
      </c>
      <c r="M17" s="4">
        <v>72.343000000000004</v>
      </c>
      <c r="N17" s="4">
        <v>2.1139999999999999</v>
      </c>
      <c r="O17" s="4">
        <v>367.68599999999998</v>
      </c>
      <c r="P17" s="4">
        <v>541.82500000000005</v>
      </c>
      <c r="Q17" s="9">
        <f t="shared" si="1"/>
        <v>67.860656115904575</v>
      </c>
    </row>
    <row r="18" spans="1:17" ht="30" customHeight="1" x14ac:dyDescent="0.25">
      <c r="A18" s="11" t="s">
        <v>19</v>
      </c>
      <c r="B18" s="12">
        <f>SUM(B6:B17)</f>
        <v>40495</v>
      </c>
      <c r="C18" s="12">
        <f t="shared" ref="C18:P18" si="2">SUM(C6:C17)</f>
        <v>242179.603</v>
      </c>
      <c r="D18" s="12">
        <f t="shared" si="2"/>
        <v>257758.03600000002</v>
      </c>
      <c r="E18" s="12">
        <f t="shared" si="2"/>
        <v>6803568</v>
      </c>
      <c r="F18" s="12">
        <f t="shared" si="2"/>
        <v>34101.547026</v>
      </c>
      <c r="G18" s="12">
        <f t="shared" si="2"/>
        <v>43621.319531000001</v>
      </c>
      <c r="H18" s="10">
        <f t="shared" si="0"/>
        <v>78.176330731502375</v>
      </c>
      <c r="I18" s="13">
        <f t="shared" si="2"/>
        <v>142299.19584999999</v>
      </c>
      <c r="J18" s="13">
        <f t="shared" si="2"/>
        <v>4917.4399999999996</v>
      </c>
      <c r="K18" s="13">
        <f t="shared" si="2"/>
        <v>147216.63584999999</v>
      </c>
      <c r="L18" s="13">
        <f t="shared" si="2"/>
        <v>3392.1562840000001</v>
      </c>
      <c r="M18" s="13">
        <f t="shared" si="2"/>
        <v>791.89041525240009</v>
      </c>
      <c r="N18" s="13">
        <f t="shared" si="2"/>
        <v>29.152007000000001</v>
      </c>
      <c r="O18" s="13">
        <f t="shared" si="2"/>
        <v>4213.1987062523995</v>
      </c>
      <c r="P18" s="13">
        <f t="shared" si="2"/>
        <v>6294.1163060360004</v>
      </c>
      <c r="Q18" s="10">
        <f t="shared" si="1"/>
        <v>66.938685295852892</v>
      </c>
    </row>
    <row r="19" spans="1:17" ht="15" customHeight="1" x14ac:dyDescent="0.25">
      <c r="A19" s="16" t="s">
        <v>22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AIR INDIA </vt:lpstr>
      <vt:lpstr>'AIR INDIA 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2020-05-06T11:44:19Z</cp:lastPrinted>
  <dcterms:created xsi:type="dcterms:W3CDTF">2018-10-29T04:00:09Z</dcterms:created>
  <dcterms:modified xsi:type="dcterms:W3CDTF">2020-05-20T09:50:59Z</dcterms:modified>
</cp:coreProperties>
</file>