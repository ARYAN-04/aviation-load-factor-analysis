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8. VISTARA\"/>
    </mc:Choice>
  </mc:AlternateContent>
  <bookViews>
    <workbookView xWindow="0" yWindow="0" windowWidth="24000" windowHeight="94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H17" i="1"/>
  <c r="H16" i="1"/>
  <c r="H15" i="1"/>
  <c r="H14" i="1"/>
  <c r="H13" i="1"/>
  <c r="H12" i="1"/>
  <c r="H11" i="1"/>
  <c r="H10" i="1"/>
  <c r="P18" i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<sst xmlns="http://schemas.openxmlformats.org/spreadsheetml/2006/main" count="26" uniqueCount="24">
  <si>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SOURCE:-  ICAO ATR FORM 'A' FURNISHED BY VISTARA</t>
  </si>
  <si>
    <t xml:space="preserve"> TOTAL</t>
  </si>
  <si>
    <t xml:space="preserve"> MAIL</t>
  </si>
  <si>
    <t>FREIGHT</t>
  </si>
  <si>
    <t xml:space="preserve"> PAX.</t>
  </si>
  <si>
    <t xml:space="preserve"> FREIGHT </t>
  </si>
  <si>
    <t>KMS.PERFORMED (MILLION)</t>
  </si>
  <si>
    <t>CARRIED (NOS.)</t>
  </si>
  <si>
    <t xml:space="preserve">  KMS. (THOUSANDS)</t>
  </si>
  <si>
    <t>HOURS (NOS.)</t>
  </si>
  <si>
    <t>DEPARTURES (NOS.)</t>
  </si>
  <si>
    <t xml:space="preserve"> WEIGHT LOAD FACTOR (%)</t>
  </si>
  <si>
    <t>AVAILABLE TONNE KILOMETERS (MILLION)</t>
  </si>
  <si>
    <t xml:space="preserve">    TON  KMS. PERFORMED (MILLION)</t>
  </si>
  <si>
    <t xml:space="preserve"> CARGO CARRIED (TON)</t>
  </si>
  <si>
    <t xml:space="preserve"> PAX. LOAD FACTOR (%)</t>
  </si>
  <si>
    <t>AVAILABLE SEAT KILOMETERS (MILLION)</t>
  </si>
  <si>
    <t xml:space="preserve">    PASSENGERS</t>
  </si>
  <si>
    <t>AIRCRAFT FLOWN</t>
  </si>
  <si>
    <t>MONTH</t>
  </si>
  <si>
    <t>Table 1.02 (VISTARA)</t>
  </si>
  <si>
    <t xml:space="preserve">तालिका - 1.02 (विस्तारा) </t>
  </si>
  <si>
    <t>2019-20</t>
  </si>
  <si>
    <t>MONTHLY TRAFFIC AND OPERATING STATISTICS OF VISTARA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</si>
</sst>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65" fontId="2" fillId="3" borderId="1" xfId="3" applyNumberFormat="1" applyFont="1" applyBorder="1" applyAlignment="1" applyProtection="1">
      <alignment horizontal="center" vertical="center" wrapText="1"/>
    </xf>
    <xf numFmtId="0" fontId="2" fillId="3" borderId="1" xfId="3" applyFont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17" fontId="6" fillId="4" borderId="1" xfId="0" applyNumberFormat="1" applyFont="1" applyFill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7" fontId="1" fillId="3" borderId="1" xfId="3" applyNumberFormat="1" applyBorder="1" applyAlignment="1" applyProtection="1">
      <alignment horizontal="center" vertical="center" wrapText="1"/>
    </xf>
    <xf numFmtId="0" fontId="6" fillId="2" borderId="1" xfId="2" applyFont="1" applyBorder="1" applyAlignment="1" applyProtection="1">
      <alignment horizontal="center" vertical="center" textRotation="90" wrapText="1"/>
    </xf>
    <xf numFmtId="0" fontId="4" fillId="4" borderId="1" xfId="0" applyFont="1" applyFill="1" applyBorder="1" applyAlignment="1" applyProtection="1">
      <alignment horizontal="left" vertical="center" wrapText="1"/>
    </xf>
    <xf numFmtId="0" fontId="6" fillId="3" borderId="1" xfId="3" applyFont="1" applyBorder="1" applyAlignment="1">
      <alignment horizontal="center" vertical="center" wrapText="1"/>
    </xf>
    <xf numFmtId="0" fontId="6" fillId="3" borderId="1" xfId="3" quotePrefix="1" applyFont="1" applyBorder="1" applyAlignment="1" applyProtection="1">
      <alignment horizontal="center" vertical="center" wrapText="1"/>
    </xf>
    <xf numFmtId="0" fontId="6" fillId="3" borderId="1" xfId="3" applyFont="1" applyBorder="1"/>
    <xf numFmtId="0" fontId="6" fillId="2" borderId="1" xfId="2" applyFont="1" applyBorder="1" applyAlignment="1" applyProtection="1">
      <alignment horizontal="center" vertical="center" wrapText="1"/>
    </xf>
    <xf numFmtId="0" fontId="6" fillId="2" borderId="1" xfId="2" applyFont="1" applyBorder="1"/>
    <xf numFmtId="0" fontId="6" fillId="2" borderId="1" xfId="2" applyFont="1" applyBorder="1" applyAlignment="1" applyProtection="1">
      <alignment horizontal="center" vertical="center" textRotation="90" wrapText="1"/>
    </xf>
    <xf numFmtId="0" fontId="6" fillId="2" borderId="1" xfId="2" applyFont="1" applyBorder="1" applyAlignment="1">
      <alignment textRotation="90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95" zoomScaleNormal="95" workbookViewId="0">
      <selection activeCell="S4" sqref="S4"/>
    </sheetView>
  </sheetViews>
  <sheetFormatPr defaultRowHeight="15" x14ac:dyDescent="0.25"/>
  <cols>
    <col min="2" max="2" width="8.140625" customWidth="1"/>
    <col min="3" max="3" width="8.28515625" customWidth="1"/>
    <col min="4" max="4" width="8.42578125" customWidth="1"/>
    <col min="5" max="5" width="11.140625" customWidth="1"/>
    <col min="6" max="17" width="7.42578125" customWidth="1"/>
  </cols>
  <sheetData>
    <row r="1" spans="1:17" ht="19.149999999999999" customHeight="1" x14ac:dyDescent="0.25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9.149999999999999" customHeight="1" x14ac:dyDescent="0.25">
      <c r="A2" s="10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9.149999999999999" customHeight="1" x14ac:dyDescent="0.25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ht="37.9" customHeight="1" x14ac:dyDescent="0.25">
      <c r="A4" s="12" t="s">
        <v>19</v>
      </c>
      <c r="B4" s="12" t="s">
        <v>18</v>
      </c>
      <c r="C4" s="12"/>
      <c r="D4" s="12"/>
      <c r="E4" s="12" t="s">
        <v>17</v>
      </c>
      <c r="F4" s="13"/>
      <c r="G4" s="14" t="s">
        <v>16</v>
      </c>
      <c r="H4" s="14" t="s">
        <v>15</v>
      </c>
      <c r="I4" s="12" t="s">
        <v>14</v>
      </c>
      <c r="J4" s="12"/>
      <c r="K4" s="12"/>
      <c r="L4" s="12" t="s">
        <v>13</v>
      </c>
      <c r="M4" s="12"/>
      <c r="N4" s="12"/>
      <c r="O4" s="12"/>
      <c r="P4" s="14" t="s">
        <v>12</v>
      </c>
      <c r="Q4" s="14" t="s">
        <v>11</v>
      </c>
    </row>
    <row r="5" spans="1:17" ht="99" customHeight="1" x14ac:dyDescent="0.25">
      <c r="A5" s="12"/>
      <c r="B5" s="7" t="s">
        <v>10</v>
      </c>
      <c r="C5" s="7" t="s">
        <v>9</v>
      </c>
      <c r="D5" s="7" t="s">
        <v>8</v>
      </c>
      <c r="E5" s="7" t="s">
        <v>7</v>
      </c>
      <c r="F5" s="7" t="s">
        <v>6</v>
      </c>
      <c r="G5" s="15"/>
      <c r="H5" s="15"/>
      <c r="I5" s="7" t="s">
        <v>5</v>
      </c>
      <c r="J5" s="7" t="s">
        <v>2</v>
      </c>
      <c r="K5" s="7" t="s">
        <v>1</v>
      </c>
      <c r="L5" s="7" t="s">
        <v>4</v>
      </c>
      <c r="M5" s="7" t="s">
        <v>3</v>
      </c>
      <c r="N5" s="7" t="s">
        <v>2</v>
      </c>
      <c r="O5" s="7" t="s">
        <v>1</v>
      </c>
      <c r="P5" s="15"/>
      <c r="Q5" s="15"/>
    </row>
    <row r="6" spans="1:17" ht="19.899999999999999" customHeight="1" x14ac:dyDescent="0.25">
      <c r="A6" s="6">
        <v>43556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7" ht="19.899999999999999" customHeight="1" x14ac:dyDescent="0.25">
      <c r="A7" s="4">
        <v>43586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ht="19.899999999999999" customHeight="1" x14ac:dyDescent="0.25">
      <c r="A8" s="6">
        <v>43617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17" ht="19.899999999999999" customHeight="1" x14ac:dyDescent="0.25">
      <c r="A9" s="4">
        <v>43647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ht="19.899999999999999" customHeight="1" x14ac:dyDescent="0.25">
      <c r="A10" s="6">
        <v>43678</v>
      </c>
      <c r="B10" s="5">
        <v>132</v>
      </c>
      <c r="C10" s="5">
        <v>214.18</v>
      </c>
      <c r="D10" s="5">
        <v>475.56700000000001</v>
      </c>
      <c r="E10" s="5">
        <v>16718</v>
      </c>
      <c r="F10" s="5">
        <v>60.548928999999994</v>
      </c>
      <c r="G10" s="5">
        <v>79.607712000000006</v>
      </c>
      <c r="H10" s="5">
        <f t="shared" ref="H10:H17" si="0">F10/G10*100</f>
        <v>76.05912477424296</v>
      </c>
      <c r="I10" s="5">
        <v>0.34139999999999998</v>
      </c>
      <c r="J10" s="5">
        <v>0</v>
      </c>
      <c r="K10" s="5">
        <v>0.34139999999999998</v>
      </c>
      <c r="L10" s="5">
        <v>6.3556131449999995</v>
      </c>
      <c r="M10" s="5">
        <v>6.5821919999999999E-4</v>
      </c>
      <c r="N10" s="5">
        <v>0</v>
      </c>
      <c r="O10" s="5">
        <v>6.3562713641999986</v>
      </c>
      <c r="P10" s="5">
        <v>8.6757833000000009</v>
      </c>
      <c r="Q10" s="5">
        <f t="shared" ref="Q10:Q17" si="1">O10/P10*100</f>
        <v>73.264524301799909</v>
      </c>
    </row>
    <row r="11" spans="1:17" ht="19.899999999999999" customHeight="1" x14ac:dyDescent="0.25">
      <c r="A11" s="4">
        <v>43709</v>
      </c>
      <c r="B11" s="3">
        <v>240</v>
      </c>
      <c r="C11" s="3">
        <v>322.66000000000003</v>
      </c>
      <c r="D11" s="3">
        <v>776.64</v>
      </c>
      <c r="E11" s="3">
        <v>27672</v>
      </c>
      <c r="F11" s="3">
        <v>88.748376999999991</v>
      </c>
      <c r="G11" s="3">
        <v>129.30552</v>
      </c>
      <c r="H11" s="3">
        <f t="shared" si="0"/>
        <v>68.634639108987756</v>
      </c>
      <c r="I11" s="3">
        <v>0.224</v>
      </c>
      <c r="J11" s="3">
        <v>0</v>
      </c>
      <c r="K11" s="3">
        <v>0.224</v>
      </c>
      <c r="L11" s="3">
        <v>9.3185795850000019</v>
      </c>
      <c r="M11" s="3">
        <v>6.6012800000000006E-4</v>
      </c>
      <c r="N11" s="3">
        <v>0</v>
      </c>
      <c r="O11" s="3">
        <v>9.319239713</v>
      </c>
      <c r="P11" s="3">
        <v>13.870590000000002</v>
      </c>
      <c r="Q11" s="3">
        <f t="shared" si="1"/>
        <v>67.187046210723551</v>
      </c>
    </row>
    <row r="12" spans="1:17" ht="19.899999999999999" customHeight="1" x14ac:dyDescent="0.25">
      <c r="A12" s="6">
        <v>43739</v>
      </c>
      <c r="B12" s="5">
        <v>248</v>
      </c>
      <c r="C12" s="5">
        <v>441.59</v>
      </c>
      <c r="D12" s="5">
        <v>802.52800000000002</v>
      </c>
      <c r="E12" s="5">
        <v>27361</v>
      </c>
      <c r="F12" s="5">
        <v>88.48877499999999</v>
      </c>
      <c r="G12" s="5">
        <v>133.61570399999999</v>
      </c>
      <c r="H12" s="5">
        <f t="shared" si="0"/>
        <v>66.226328456122189</v>
      </c>
      <c r="I12" s="5">
        <v>0</v>
      </c>
      <c r="J12" s="5">
        <v>0</v>
      </c>
      <c r="K12" s="5">
        <v>0</v>
      </c>
      <c r="L12" s="5">
        <v>9.291321374999999</v>
      </c>
      <c r="M12" s="5">
        <v>0</v>
      </c>
      <c r="N12" s="5">
        <v>0</v>
      </c>
      <c r="O12" s="5">
        <v>9.291321374999999</v>
      </c>
      <c r="P12" s="5">
        <v>14.332943000000002</v>
      </c>
      <c r="Q12" s="5">
        <f t="shared" si="1"/>
        <v>64.824937732606614</v>
      </c>
    </row>
    <row r="13" spans="1:17" ht="19.899999999999999" customHeight="1" x14ac:dyDescent="0.25">
      <c r="A13" s="4">
        <v>43770</v>
      </c>
      <c r="B13" s="3">
        <v>250</v>
      </c>
      <c r="C13" s="3">
        <v>438.59</v>
      </c>
      <c r="D13" s="3">
        <v>791.85</v>
      </c>
      <c r="E13" s="3">
        <v>33135</v>
      </c>
      <c r="F13" s="3">
        <v>107.164181</v>
      </c>
      <c r="G13" s="3">
        <v>131.38037199999999</v>
      </c>
      <c r="H13" s="3">
        <f t="shared" si="0"/>
        <v>81.567877582200794</v>
      </c>
      <c r="I13" s="3">
        <v>0</v>
      </c>
      <c r="J13" s="3">
        <v>0</v>
      </c>
      <c r="K13" s="3">
        <v>0</v>
      </c>
      <c r="L13" s="3">
        <v>11.252239005000002</v>
      </c>
      <c r="M13" s="3">
        <v>0</v>
      </c>
      <c r="N13" s="3">
        <v>0</v>
      </c>
      <c r="O13" s="3">
        <v>11.252239005000002</v>
      </c>
      <c r="P13" s="3">
        <v>13.947793099999998</v>
      </c>
      <c r="Q13" s="3">
        <f t="shared" si="1"/>
        <v>80.673974185923385</v>
      </c>
    </row>
    <row r="14" spans="1:17" ht="19.899999999999999" customHeight="1" x14ac:dyDescent="0.25">
      <c r="A14" s="6">
        <v>43800</v>
      </c>
      <c r="B14" s="5">
        <v>302</v>
      </c>
      <c r="C14" s="5">
        <v>535.42999999999995</v>
      </c>
      <c r="D14" s="5">
        <v>884.66200000000003</v>
      </c>
      <c r="E14" s="5">
        <v>36228</v>
      </c>
      <c r="F14" s="5">
        <v>109.56639100000001</v>
      </c>
      <c r="G14" s="5">
        <v>145.08456799999999</v>
      </c>
      <c r="H14" s="5">
        <f t="shared" si="0"/>
        <v>75.518983521390098</v>
      </c>
      <c r="I14" s="5">
        <v>0</v>
      </c>
      <c r="J14" s="5">
        <v>0</v>
      </c>
      <c r="K14" s="5">
        <v>0</v>
      </c>
      <c r="L14" s="5">
        <v>11.504471055</v>
      </c>
      <c r="M14" s="5">
        <v>0</v>
      </c>
      <c r="N14" s="5">
        <v>0</v>
      </c>
      <c r="O14" s="5">
        <v>11.504471055</v>
      </c>
      <c r="P14" s="5">
        <v>14.8623216</v>
      </c>
      <c r="Q14" s="5">
        <f t="shared" si="1"/>
        <v>77.406958109424835</v>
      </c>
    </row>
    <row r="15" spans="1:17" ht="19.899999999999999" customHeight="1" x14ac:dyDescent="0.25">
      <c r="A15" s="4">
        <v>43831</v>
      </c>
      <c r="B15" s="3">
        <v>300</v>
      </c>
      <c r="C15" s="3">
        <v>533.35</v>
      </c>
      <c r="D15" s="3">
        <v>881.62</v>
      </c>
      <c r="E15" s="3">
        <v>35482</v>
      </c>
      <c r="F15" s="3">
        <v>106.21851099999999</v>
      </c>
      <c r="G15" s="3">
        <v>144.58568</v>
      </c>
      <c r="H15" s="3">
        <f t="shared" si="0"/>
        <v>73.464060202919129</v>
      </c>
      <c r="I15" s="3"/>
      <c r="J15" s="3"/>
      <c r="K15" s="3">
        <v>0</v>
      </c>
      <c r="L15" s="3">
        <v>11.152943655000001</v>
      </c>
      <c r="M15" s="3">
        <v>0</v>
      </c>
      <c r="N15" s="3">
        <v>0</v>
      </c>
      <c r="O15" s="3">
        <v>11.152943655000001</v>
      </c>
      <c r="P15" s="3">
        <v>14.811216</v>
      </c>
      <c r="Q15" s="3">
        <f t="shared" si="1"/>
        <v>75.300661707992106</v>
      </c>
    </row>
    <row r="16" spans="1:17" ht="19.899999999999999" customHeight="1" x14ac:dyDescent="0.25">
      <c r="A16" s="6">
        <v>43862</v>
      </c>
      <c r="B16" s="5">
        <v>318</v>
      </c>
      <c r="C16" s="5">
        <v>560.16</v>
      </c>
      <c r="D16" s="5">
        <v>856.178</v>
      </c>
      <c r="E16" s="5">
        <v>32820</v>
      </c>
      <c r="F16" s="5">
        <v>83.159474000000003</v>
      </c>
      <c r="G16" s="5">
        <v>140.53069600000001</v>
      </c>
      <c r="H16" s="5">
        <f t="shared" si="0"/>
        <v>59.175309286164776</v>
      </c>
      <c r="I16" s="5"/>
      <c r="J16" s="5"/>
      <c r="K16" s="5">
        <v>0</v>
      </c>
      <c r="L16" s="5">
        <v>8.7317447700000006</v>
      </c>
      <c r="M16" s="5">
        <v>0</v>
      </c>
      <c r="N16" s="5">
        <v>0</v>
      </c>
      <c r="O16" s="5">
        <v>8.7317447700000006</v>
      </c>
      <c r="P16" s="5">
        <v>14.433729599999998</v>
      </c>
      <c r="Q16" s="5">
        <f t="shared" si="1"/>
        <v>60.49541602885509</v>
      </c>
    </row>
    <row r="17" spans="1:17" ht="19.899999999999999" customHeight="1" x14ac:dyDescent="0.25">
      <c r="A17" s="4">
        <v>43891</v>
      </c>
      <c r="B17" s="3">
        <v>188</v>
      </c>
      <c r="C17" s="3">
        <v>325.3</v>
      </c>
      <c r="D17" s="3">
        <v>451.84899999999999</v>
      </c>
      <c r="E17" s="3">
        <v>14490</v>
      </c>
      <c r="F17" s="3">
        <v>32.349939999999997</v>
      </c>
      <c r="G17" s="3">
        <v>74.233795999999998</v>
      </c>
      <c r="H17" s="3">
        <f t="shared" si="0"/>
        <v>43.57845313474202</v>
      </c>
      <c r="I17" s="3">
        <v>0</v>
      </c>
      <c r="J17" s="3"/>
      <c r="K17" s="3">
        <v>0</v>
      </c>
      <c r="L17" s="3">
        <v>3.3967437</v>
      </c>
      <c r="M17" s="3">
        <v>0</v>
      </c>
      <c r="N17" s="3">
        <v>0</v>
      </c>
      <c r="O17" s="3">
        <v>3.3967437</v>
      </c>
      <c r="P17" s="3">
        <v>7.6465512000000002</v>
      </c>
      <c r="Q17" s="3">
        <f t="shared" si="1"/>
        <v>44.421904871309827</v>
      </c>
    </row>
    <row r="18" spans="1:17" ht="19.899999999999999" customHeight="1" x14ac:dyDescent="0.25">
      <c r="A18" s="2" t="s">
        <v>22</v>
      </c>
      <c r="B18" s="1">
        <f>SUM(B6:B17)</f>
        <v>1978</v>
      </c>
      <c r="C18" s="1">
        <f t="shared" ref="C18:G18" si="2">SUM(C6:C17)</f>
        <v>3371.2599999999998</v>
      </c>
      <c r="D18" s="1">
        <f t="shared" si="2"/>
        <v>5920.8939999999993</v>
      </c>
      <c r="E18" s="1">
        <f t="shared" si="2"/>
        <v>223906</v>
      </c>
      <c r="F18" s="1">
        <f t="shared" si="2"/>
        <v>676.24457799999993</v>
      </c>
      <c r="G18" s="1">
        <f t="shared" si="2"/>
        <v>978.34404800000004</v>
      </c>
      <c r="H18" s="1">
        <f t="shared" ref="H18" si="3">F18/G18*100</f>
        <v>69.121346358924228</v>
      </c>
      <c r="I18" s="1">
        <f t="shared" ref="I18:P18" si="4">SUM(I6:I17)</f>
        <v>0.56540000000000001</v>
      </c>
      <c r="J18" s="1">
        <f t="shared" si="4"/>
        <v>0</v>
      </c>
      <c r="K18" s="1">
        <f t="shared" si="4"/>
        <v>0.56540000000000001</v>
      </c>
      <c r="L18" s="1">
        <f t="shared" si="4"/>
        <v>71.003656290000009</v>
      </c>
      <c r="M18" s="1">
        <f t="shared" si="4"/>
        <v>1.3183472000000002E-3</v>
      </c>
      <c r="N18" s="1">
        <f t="shared" si="4"/>
        <v>0</v>
      </c>
      <c r="O18" s="1">
        <f t="shared" si="4"/>
        <v>71.004974637200007</v>
      </c>
      <c r="P18" s="1">
        <f t="shared" si="4"/>
        <v>102.5809278</v>
      </c>
      <c r="Q18" s="1">
        <f t="shared" ref="Q18" si="5">O18/P18*100</f>
        <v>69.218495250537217</v>
      </c>
    </row>
    <row r="19" spans="1:17" ht="19.899999999999999" customHeight="1" x14ac:dyDescent="0.25">
      <c r="A19" s="8" t="s">
        <v>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2021-09-15T01:37:34Z</cp:lastPrinted>
  <dcterms:created xsi:type="dcterms:W3CDTF">2020-05-22T09:14:10Z</dcterms:created>
  <dcterms:modified xsi:type="dcterms:W3CDTF">2021-09-15T01:37:57Z</dcterms:modified>
</cp:coreProperties>
</file>