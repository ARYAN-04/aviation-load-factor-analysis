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SPICEJET\"/>
    </mc:Choice>
  </mc:AlternateContent>
  <bookViews>
    <workbookView showHorizontalScroll="0" showVerticalScroll="0" xWindow="-120" yWindow="-120" windowWidth="20736" windowHeight="11160"/>
  </bookViews>
  <sheets>
    <sheet name="SPICEJET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6" l="1"/>
  <c r="Q8" i="6"/>
  <c r="Q9" i="6"/>
  <c r="Q10" i="6"/>
  <c r="Q11" i="6"/>
  <c r="Q12" i="6"/>
  <c r="Q13" i="6"/>
  <c r="Q14" i="6"/>
  <c r="Q15" i="6"/>
  <c r="Q16" i="6"/>
  <c r="Q17" i="6"/>
  <c r="Q18" i="6"/>
  <c r="Q6" i="6"/>
  <c r="H7" i="6"/>
  <c r="H8" i="6"/>
  <c r="H9" i="6"/>
  <c r="H10" i="6"/>
  <c r="H11" i="6"/>
  <c r="H12" i="6"/>
  <c r="H13" i="6"/>
  <c r="H14" i="6"/>
  <c r="H15" i="6"/>
  <c r="H16" i="6"/>
  <c r="H17" i="6"/>
  <c r="H18" i="6"/>
  <c r="H6" i="6"/>
  <c r="M18" i="6" l="1"/>
  <c r="K18" i="6"/>
  <c r="J18" i="6"/>
  <c r="I18" i="6"/>
  <c r="B18" i="6"/>
  <c r="L18" i="6"/>
  <c r="F18" i="6"/>
  <c r="C18" i="6"/>
  <c r="P18" i="6"/>
  <c r="O18" i="6"/>
  <c r="N18" i="6"/>
  <c r="G18" i="6"/>
  <c r="E18" i="6"/>
  <c r="D18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<sst xmlns="http://schemas.openxmlformats.org/spreadsheetml/2006/main" count="26" uniqueCount="24">
  <si>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</si>
  <si>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</si>
  <si>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</si>
  <si>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</si>
  <si>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</si>
  <si>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</si>
  <si>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</si>
  <si>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</si>
  <si>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</si>
  <si>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</si>
  <si>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</si>
  <si>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</si>
  <si>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</si>
  <si>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</si>
  <si>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</si>
  <si>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</si>
  <si>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</si>
  <si>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</si>
  <si>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</si>
  <si>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</si>
  <si>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- 1.02 (स्पाइसजेट) </t>
  </si>
  <si>
    <t>Table 1.02 (SPICEJET)</t>
  </si>
  <si>
    <t>SOURCE:-  ICAO ATR FORM 'A' FURNISHED BY SPICEJET</t>
  </si>
  <si>
    <t>MONTHLY TRAFFIC AND OPERATING STATISTICS OF SPICEJET ON SCHEDULED INTERNATIONAL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</si>
</sst>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2">
    <xf numFmtId="0" fontId="0" fillId="0" borderId="0" xfId="0"/>
    <xf numFmtId="17" fontId="2" fillId="2" borderId="1" xfId="0" applyNumberFormat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0" fontId="4" fillId="3" borderId="1" xfId="2" applyBorder="1" applyAlignment="1" applyProtection="1">
      <alignment horizontal="center" vertical="center" textRotation="90" wrapText="1"/>
    </xf>
    <xf numFmtId="17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5" fontId="3" fillId="5" borderId="1" xfId="4" applyNumberFormat="1" applyBorder="1" applyAlignment="1">
      <alignment horizontal="right" vertical="center"/>
    </xf>
    <xf numFmtId="166" fontId="3" fillId="4" borderId="1" xfId="3" applyNumberFormat="1" applyBorder="1" applyAlignment="1" applyProtection="1">
      <alignment horizontal="center" vertical="center" wrapText="1"/>
    </xf>
    <xf numFmtId="166" fontId="6" fillId="4" borderId="1" xfId="3" applyNumberFormat="1" applyFont="1" applyBorder="1" applyAlignment="1" applyProtection="1">
      <alignment horizontal="center" vertical="center" wrapText="1"/>
    </xf>
    <xf numFmtId="0" fontId="6" fillId="5" borderId="1" xfId="4" applyFont="1" applyBorder="1" applyAlignment="1" applyProtection="1">
      <alignment horizontal="center" vertical="center" wrapText="1"/>
    </xf>
    <xf numFmtId="164" fontId="6" fillId="5" borderId="1" xfId="4" applyNumberFormat="1" applyFont="1" applyBorder="1" applyAlignment="1" applyProtection="1">
      <alignment horizontal="right" vertical="center" wrapText="1"/>
    </xf>
    <xf numFmtId="165" fontId="6" fillId="5" borderId="1" xfId="4" applyNumberFormat="1" applyFont="1" applyBorder="1" applyAlignment="1" applyProtection="1">
      <alignment horizontal="righ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</cellXfs>
  <cellStyles count="5">
    <cellStyle name="20% - Accent6" xfId="3" builtinId="50"/>
    <cellStyle name="40% - Accent6" xfId="4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B18" sqref="B18:Q18"/>
    </sheetView>
  </sheetViews>
  <sheetFormatPr defaultRowHeight="14.4" x14ac:dyDescent="0.3"/>
  <cols>
    <col min="1" max="1" width="7.88671875" customWidth="1"/>
    <col min="2" max="2" width="7.6640625" customWidth="1"/>
    <col min="3" max="3" width="8" customWidth="1"/>
    <col min="4" max="4" width="7.5546875" customWidth="1"/>
    <col min="5" max="5" width="10.33203125" customWidth="1"/>
    <col min="6" max="6" width="6.5546875" customWidth="1"/>
    <col min="7" max="7" width="7.44140625" customWidth="1"/>
    <col min="8" max="8" width="7.109375" customWidth="1"/>
    <col min="9" max="9" width="9.109375" customWidth="1"/>
    <col min="10" max="10" width="5.109375" customWidth="1"/>
    <col min="11" max="11" width="9.109375" customWidth="1"/>
    <col min="12" max="12" width="7.88671875" customWidth="1"/>
    <col min="13" max="13" width="7" customWidth="1"/>
    <col min="14" max="14" width="5.88671875" customWidth="1"/>
    <col min="15" max="15" width="6.5546875" customWidth="1"/>
    <col min="17" max="17" width="7.33203125" customWidth="1"/>
  </cols>
  <sheetData>
    <row r="1" spans="1:17" ht="15" customHeight="1" x14ac:dyDescent="0.3">
      <c r="A1" s="14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5" customHeight="1" x14ac:dyDescent="0.3">
      <c r="A2" s="16" t="s">
        <v>21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5" customHeight="1" x14ac:dyDescent="0.3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1.8" customHeight="1" x14ac:dyDescent="0.3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14.75" customHeight="1" x14ac:dyDescent="0.3">
      <c r="A5" s="18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21"/>
      <c r="H5" s="21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21"/>
      <c r="Q5" s="21"/>
    </row>
    <row r="6" spans="1:17" x14ac:dyDescent="0.3">
      <c r="A6" s="5">
        <v>43191</v>
      </c>
      <c r="B6" s="6">
        <v>1166</v>
      </c>
      <c r="C6" s="6">
        <v>2892</v>
      </c>
      <c r="D6" s="6">
        <v>2056.6999999999998</v>
      </c>
      <c r="E6" s="6">
        <v>172813</v>
      </c>
      <c r="F6" s="6">
        <v>346.69299999999998</v>
      </c>
      <c r="G6" s="6">
        <v>380.56020000000001</v>
      </c>
      <c r="H6" s="8">
        <f>F6/G6*100</f>
        <v>91.100698391476556</v>
      </c>
      <c r="I6" s="7">
        <v>709.4</v>
      </c>
      <c r="J6" s="7">
        <v>0</v>
      </c>
      <c r="K6" s="7">
        <v>709.4</v>
      </c>
      <c r="L6" s="7">
        <v>26.001999999999999</v>
      </c>
      <c r="M6" s="7">
        <v>1.4445999999999999</v>
      </c>
      <c r="N6" s="7">
        <v>0</v>
      </c>
      <c r="O6" s="7">
        <v>27.4466</v>
      </c>
      <c r="P6" s="7">
        <v>32.404200000000003</v>
      </c>
      <c r="Q6" s="8">
        <f>O6/P6*100</f>
        <v>84.700748668382488</v>
      </c>
    </row>
    <row r="7" spans="1:17" x14ac:dyDescent="0.3">
      <c r="A7" s="1">
        <v>43221</v>
      </c>
      <c r="B7" s="2">
        <v>1206</v>
      </c>
      <c r="C7" s="2">
        <v>2983</v>
      </c>
      <c r="D7" s="2">
        <v>2128.1</v>
      </c>
      <c r="E7" s="2">
        <v>184157</v>
      </c>
      <c r="F7" s="2">
        <v>364.51490000000001</v>
      </c>
      <c r="G7" s="2">
        <v>393.78800000000001</v>
      </c>
      <c r="H7" s="8">
        <f t="shared" ref="H7:H18" si="0">F7/G7*100</f>
        <v>92.566279317805524</v>
      </c>
      <c r="I7" s="3">
        <v>689.8</v>
      </c>
      <c r="J7" s="3">
        <v>0</v>
      </c>
      <c r="K7" s="3">
        <v>689.8</v>
      </c>
      <c r="L7" s="3">
        <v>27.3386</v>
      </c>
      <c r="M7" s="3">
        <v>1.4252</v>
      </c>
      <c r="N7" s="3">
        <v>0</v>
      </c>
      <c r="O7" s="3">
        <v>28.7638</v>
      </c>
      <c r="P7" s="3">
        <v>33.530300000000004</v>
      </c>
      <c r="Q7" s="8">
        <f t="shared" ref="Q7:Q18" si="1">O7/P7*100</f>
        <v>85.78449939308625</v>
      </c>
    </row>
    <row r="8" spans="1:17" x14ac:dyDescent="0.3">
      <c r="A8" s="5">
        <v>43252</v>
      </c>
      <c r="B8" s="6">
        <v>1177</v>
      </c>
      <c r="C8" s="6">
        <v>2892</v>
      </c>
      <c r="D8" s="6">
        <v>2071</v>
      </c>
      <c r="E8" s="6">
        <v>172905</v>
      </c>
      <c r="F8" s="6">
        <v>343.46360800000002</v>
      </c>
      <c r="G8" s="6">
        <v>383.20034899999996</v>
      </c>
      <c r="H8" s="8">
        <f t="shared" si="0"/>
        <v>89.630296239631051</v>
      </c>
      <c r="I8" s="7">
        <v>885.1</v>
      </c>
      <c r="J8" s="7">
        <v>0</v>
      </c>
      <c r="K8" s="7">
        <v>885.1</v>
      </c>
      <c r="L8" s="7">
        <v>25.759799999999998</v>
      </c>
      <c r="M8" s="7">
        <v>1.7209000000000001</v>
      </c>
      <c r="N8" s="7">
        <v>0</v>
      </c>
      <c r="O8" s="7">
        <v>27.480700000000002</v>
      </c>
      <c r="P8" s="7">
        <v>32.624299999999998</v>
      </c>
      <c r="Q8" s="8">
        <f t="shared" si="1"/>
        <v>84.233837967404682</v>
      </c>
    </row>
    <row r="9" spans="1:17" x14ac:dyDescent="0.3">
      <c r="A9" s="1">
        <v>43282</v>
      </c>
      <c r="B9" s="2">
        <v>1222</v>
      </c>
      <c r="C9" s="2">
        <v>2998</v>
      </c>
      <c r="D9" s="2">
        <v>2150.4</v>
      </c>
      <c r="E9" s="2">
        <v>184537</v>
      </c>
      <c r="F9" s="2">
        <v>363.18359999999996</v>
      </c>
      <c r="G9" s="2">
        <v>398.00650000000002</v>
      </c>
      <c r="H9" s="8">
        <f t="shared" si="0"/>
        <v>91.250670529250129</v>
      </c>
      <c r="I9" s="3">
        <v>967.2</v>
      </c>
      <c r="J9" s="3">
        <v>0</v>
      </c>
      <c r="K9" s="3">
        <v>967.2</v>
      </c>
      <c r="L9" s="3">
        <v>27.238799999999998</v>
      </c>
      <c r="M9" s="3">
        <v>1.7521</v>
      </c>
      <c r="N9" s="3">
        <v>0</v>
      </c>
      <c r="O9" s="3">
        <v>28.990899999999996</v>
      </c>
      <c r="P9" s="3">
        <v>33.8874</v>
      </c>
      <c r="Q9" s="8">
        <f t="shared" si="1"/>
        <v>85.550676652679158</v>
      </c>
    </row>
    <row r="10" spans="1:17" x14ac:dyDescent="0.3">
      <c r="A10" s="5">
        <v>43313</v>
      </c>
      <c r="B10" s="6">
        <v>1189</v>
      </c>
      <c r="C10" s="6">
        <v>2930</v>
      </c>
      <c r="D10" s="6">
        <v>2100.09</v>
      </c>
      <c r="E10" s="6">
        <v>179435</v>
      </c>
      <c r="F10" s="6">
        <v>351.28896000000003</v>
      </c>
      <c r="G10" s="6">
        <v>390.38999000000001</v>
      </c>
      <c r="H10" s="8">
        <f t="shared" si="0"/>
        <v>89.984110504472724</v>
      </c>
      <c r="I10" s="7">
        <v>875.63</v>
      </c>
      <c r="J10" s="7">
        <v>0</v>
      </c>
      <c r="K10" s="7">
        <v>875.63</v>
      </c>
      <c r="L10" s="7">
        <v>26.34667</v>
      </c>
      <c r="M10" s="7">
        <v>1.6812499999999999</v>
      </c>
      <c r="N10" s="7">
        <v>0</v>
      </c>
      <c r="O10" s="7">
        <v>28.027919999999998</v>
      </c>
      <c r="P10" s="7">
        <v>33.227269999999997</v>
      </c>
      <c r="Q10" s="8">
        <f t="shared" si="1"/>
        <v>84.352160138344203</v>
      </c>
    </row>
    <row r="11" spans="1:17" x14ac:dyDescent="0.3">
      <c r="A11" s="1">
        <v>43344</v>
      </c>
      <c r="B11" s="2">
        <v>1166</v>
      </c>
      <c r="C11" s="2">
        <v>2870</v>
      </c>
      <c r="D11" s="2">
        <v>2056.3760000000002</v>
      </c>
      <c r="E11" s="2">
        <v>176387</v>
      </c>
      <c r="F11" s="2">
        <v>333.81657299999995</v>
      </c>
      <c r="G11" s="2">
        <v>382.09490399999999</v>
      </c>
      <c r="H11" s="8">
        <f t="shared" si="0"/>
        <v>87.364832533856557</v>
      </c>
      <c r="I11" s="3">
        <v>832.98</v>
      </c>
      <c r="J11" s="3">
        <v>0</v>
      </c>
      <c r="K11" s="3">
        <v>832.98</v>
      </c>
      <c r="L11" s="3">
        <v>25.036242999999999</v>
      </c>
      <c r="M11" s="3">
        <v>1.5968740000000001</v>
      </c>
      <c r="N11" s="3">
        <v>0</v>
      </c>
      <c r="O11" s="3">
        <v>26.633116999999999</v>
      </c>
      <c r="P11" s="3">
        <v>32.521256000000001</v>
      </c>
      <c r="Q11" s="8">
        <f t="shared" si="1"/>
        <v>81.894490790884575</v>
      </c>
    </row>
    <row r="12" spans="1:17" x14ac:dyDescent="0.3">
      <c r="A12" s="5">
        <v>43374</v>
      </c>
      <c r="B12" s="6">
        <v>1245</v>
      </c>
      <c r="C12" s="6">
        <v>3114</v>
      </c>
      <c r="D12" s="6">
        <v>2224.181</v>
      </c>
      <c r="E12" s="6">
        <v>181244</v>
      </c>
      <c r="F12" s="6">
        <v>348.36093599999998</v>
      </c>
      <c r="G12" s="6">
        <v>413.60237100000001</v>
      </c>
      <c r="H12" s="8">
        <f t="shared" si="0"/>
        <v>84.226049081328881</v>
      </c>
      <c r="I12" s="7">
        <v>1364.3720000000001</v>
      </c>
      <c r="J12" s="7">
        <v>0</v>
      </c>
      <c r="K12" s="7">
        <v>1364.3720000000001</v>
      </c>
      <c r="L12" s="7">
        <v>26.12707</v>
      </c>
      <c r="M12" s="7">
        <v>2.2134619999999998</v>
      </c>
      <c r="N12" s="7">
        <v>0</v>
      </c>
      <c r="O12" s="7">
        <v>28.340532</v>
      </c>
      <c r="P12" s="7">
        <v>35.194877999999996</v>
      </c>
      <c r="Q12" s="8">
        <f t="shared" si="1"/>
        <v>80.52459224322358</v>
      </c>
    </row>
    <row r="13" spans="1:17" x14ac:dyDescent="0.3">
      <c r="A13" s="1">
        <v>43405</v>
      </c>
      <c r="B13" s="2">
        <v>1287</v>
      </c>
      <c r="C13" s="2">
        <v>3390</v>
      </c>
      <c r="D13" s="2">
        <v>2412.34</v>
      </c>
      <c r="E13" s="2">
        <v>191812</v>
      </c>
      <c r="F13" s="2">
        <v>383.70289000000002</v>
      </c>
      <c r="G13" s="2">
        <v>449.46097200000003</v>
      </c>
      <c r="H13" s="8">
        <f t="shared" si="0"/>
        <v>85.369567972188705</v>
      </c>
      <c r="I13" s="3">
        <v>1803.5070000000001</v>
      </c>
      <c r="J13" s="3">
        <v>0</v>
      </c>
      <c r="K13" s="3">
        <v>1803.5070000000001</v>
      </c>
      <c r="L13" s="3">
        <v>28.777716999999999</v>
      </c>
      <c r="M13" s="3">
        <v>2.3197379999999996</v>
      </c>
      <c r="N13" s="3">
        <v>0</v>
      </c>
      <c r="O13" s="3">
        <v>31.097455</v>
      </c>
      <c r="P13" s="3">
        <v>38.228271999999997</v>
      </c>
      <c r="Q13" s="8">
        <f t="shared" si="1"/>
        <v>81.346745152383562</v>
      </c>
    </row>
    <row r="14" spans="1:17" x14ac:dyDescent="0.3">
      <c r="A14" s="5">
        <v>43435</v>
      </c>
      <c r="B14" s="6">
        <v>1389</v>
      </c>
      <c r="C14" s="6">
        <v>3805</v>
      </c>
      <c r="D14" s="6">
        <v>2709.8679999999999</v>
      </c>
      <c r="E14" s="6">
        <v>218467</v>
      </c>
      <c r="F14" s="6">
        <v>451.81990500000001</v>
      </c>
      <c r="G14" s="6">
        <v>505.88980400000003</v>
      </c>
      <c r="H14" s="8">
        <f t="shared" si="0"/>
        <v>89.311921574130011</v>
      </c>
      <c r="I14" s="7">
        <v>2381.3919999999998</v>
      </c>
      <c r="J14" s="7">
        <v>0</v>
      </c>
      <c r="K14" s="7">
        <v>2381.3919999999998</v>
      </c>
      <c r="L14" s="7">
        <v>33.886493000000002</v>
      </c>
      <c r="M14" s="7">
        <v>2.361596</v>
      </c>
      <c r="N14" s="7">
        <v>0</v>
      </c>
      <c r="O14" s="7">
        <v>36.248089</v>
      </c>
      <c r="P14" s="7">
        <v>42.972163999999999</v>
      </c>
      <c r="Q14" s="8">
        <f t="shared" si="1"/>
        <v>84.352486879646094</v>
      </c>
    </row>
    <row r="15" spans="1:17" x14ac:dyDescent="0.3">
      <c r="A15" s="1">
        <v>43466</v>
      </c>
      <c r="B15" s="2">
        <v>1378</v>
      </c>
      <c r="C15" s="2">
        <v>3805</v>
      </c>
      <c r="D15" s="2">
        <v>2677.49</v>
      </c>
      <c r="E15" s="2">
        <v>212534</v>
      </c>
      <c r="F15" s="2">
        <v>436.85740000000004</v>
      </c>
      <c r="G15" s="2">
        <v>499.33769999999998</v>
      </c>
      <c r="H15" s="8">
        <f t="shared" si="0"/>
        <v>87.48736576469193</v>
      </c>
      <c r="I15" s="3">
        <v>1810.45</v>
      </c>
      <c r="J15" s="3">
        <v>0</v>
      </c>
      <c r="K15" s="3">
        <v>1810.45</v>
      </c>
      <c r="L15" s="3">
        <v>32.764310000000002</v>
      </c>
      <c r="M15" s="3">
        <v>2.0686900000000001</v>
      </c>
      <c r="N15" s="3">
        <v>0</v>
      </c>
      <c r="O15" s="3">
        <v>34.832999999999998</v>
      </c>
      <c r="P15" s="3">
        <v>42.378230000000002</v>
      </c>
      <c r="Q15" s="8">
        <f t="shared" si="1"/>
        <v>82.195504625842091</v>
      </c>
    </row>
    <row r="16" spans="1:17" x14ac:dyDescent="0.3">
      <c r="A16" s="5">
        <v>43497</v>
      </c>
      <c r="B16" s="6">
        <v>1195</v>
      </c>
      <c r="C16" s="6">
        <v>3254</v>
      </c>
      <c r="D16" s="6">
        <v>2283.462</v>
      </c>
      <c r="E16" s="6">
        <v>174191</v>
      </c>
      <c r="F16" s="6">
        <v>347.32451700000001</v>
      </c>
      <c r="G16" s="6">
        <v>424.02537199999995</v>
      </c>
      <c r="H16" s="8">
        <f t="shared" si="0"/>
        <v>81.911258131034685</v>
      </c>
      <c r="I16" s="7">
        <v>3667.306</v>
      </c>
      <c r="J16" s="7">
        <v>0</v>
      </c>
      <c r="K16" s="7">
        <v>3667.306</v>
      </c>
      <c r="L16" s="7">
        <v>26.049339</v>
      </c>
      <c r="M16" s="7">
        <v>2.06521</v>
      </c>
      <c r="N16" s="7">
        <v>0</v>
      </c>
      <c r="O16" s="7">
        <v>28.114549</v>
      </c>
      <c r="P16" s="7">
        <v>35.927809000000003</v>
      </c>
      <c r="Q16" s="8">
        <f t="shared" si="1"/>
        <v>78.252890400302448</v>
      </c>
    </row>
    <row r="17" spans="1:17" x14ac:dyDescent="0.3">
      <c r="A17" s="1">
        <v>43525</v>
      </c>
      <c r="B17" s="2">
        <v>1246</v>
      </c>
      <c r="C17" s="2">
        <v>3639</v>
      </c>
      <c r="D17" s="2">
        <v>2445.66</v>
      </c>
      <c r="E17" s="2">
        <v>190800</v>
      </c>
      <c r="F17" s="2">
        <v>398.719515</v>
      </c>
      <c r="G17" s="2">
        <v>455.00488000000001</v>
      </c>
      <c r="H17" s="8">
        <f t="shared" si="0"/>
        <v>87.629722784511671</v>
      </c>
      <c r="I17" s="3">
        <v>2442.7829999999999</v>
      </c>
      <c r="J17" s="3">
        <v>0</v>
      </c>
      <c r="K17" s="3">
        <v>2442.7829999999999</v>
      </c>
      <c r="L17" s="3">
        <v>29.903864000000002</v>
      </c>
      <c r="M17" s="3">
        <v>2.136987</v>
      </c>
      <c r="N17" s="3">
        <v>0</v>
      </c>
      <c r="O17" s="3">
        <v>32.040851000000004</v>
      </c>
      <c r="P17" s="3">
        <v>38.610279999999996</v>
      </c>
      <c r="Q17" s="8">
        <f t="shared" si="1"/>
        <v>82.985285265996538</v>
      </c>
    </row>
    <row r="18" spans="1:17" x14ac:dyDescent="0.3">
      <c r="A18" s="10" t="s">
        <v>19</v>
      </c>
      <c r="B18" s="11">
        <f>SUM(B6:B17)</f>
        <v>14866</v>
      </c>
      <c r="C18" s="11">
        <f t="shared" ref="C18:P18" si="2">SUM(C6:C17)</f>
        <v>38572</v>
      </c>
      <c r="D18" s="11">
        <f t="shared" si="2"/>
        <v>27315.666999999998</v>
      </c>
      <c r="E18" s="11">
        <f t="shared" si="2"/>
        <v>2239282</v>
      </c>
      <c r="F18" s="11">
        <f t="shared" si="2"/>
        <v>4469.7458039999992</v>
      </c>
      <c r="G18" s="11">
        <f t="shared" si="2"/>
        <v>5075.3610420000005</v>
      </c>
      <c r="H18" s="9">
        <f t="shared" si="0"/>
        <v>88.067543707957526</v>
      </c>
      <c r="I18" s="12">
        <f t="shared" si="2"/>
        <v>18429.920000000002</v>
      </c>
      <c r="J18" s="12">
        <f t="shared" si="2"/>
        <v>0</v>
      </c>
      <c r="K18" s="12">
        <f t="shared" si="2"/>
        <v>18429.920000000002</v>
      </c>
      <c r="L18" s="12">
        <f t="shared" si="2"/>
        <v>335.23090599999995</v>
      </c>
      <c r="M18" s="12">
        <f t="shared" si="2"/>
        <v>22.786607</v>
      </c>
      <c r="N18" s="12">
        <f t="shared" si="2"/>
        <v>0</v>
      </c>
      <c r="O18" s="12">
        <f t="shared" si="2"/>
        <v>358.01751300000001</v>
      </c>
      <c r="P18" s="12">
        <f t="shared" si="2"/>
        <v>431.50635900000009</v>
      </c>
      <c r="Q18" s="9">
        <f t="shared" si="1"/>
        <v>82.969232210086602</v>
      </c>
    </row>
    <row r="19" spans="1:17" ht="15" customHeight="1" x14ac:dyDescent="0.3">
      <c r="A19" s="13" t="s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</sheetData>
  <mergeCells count="13"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P4:P5"/>
    <mergeCell ref="Q4:Q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2020-06-11T11:37:12Z</cp:lastPrinted>
  <dcterms:created xsi:type="dcterms:W3CDTF">2018-10-29T04:00:09Z</dcterms:created>
  <dcterms:modified xsi:type="dcterms:W3CDTF">2020-06-11T11:37:22Z</dcterms:modified>
</cp:coreProperties>
</file>