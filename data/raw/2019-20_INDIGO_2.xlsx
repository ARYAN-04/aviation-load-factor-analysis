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2. INDIGO\"/>
    </mc:Choice>
  </mc:AlternateContent>
  <bookViews>
    <workbookView showHorizontalScroll="0" showVerticalScroll="0" xWindow="0" yWindow="0" windowWidth="24000" windowHeight="9435"/>
  </bookViews>
  <sheets>
    <sheet name="INDIGO" sheetId="4" r:id="rId1"/>
  </sheets>
  <calcPr calcId="152511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4" l="1"/>
  <c r="Q8" i="4"/>
  <c r="Q9" i="4"/>
  <c r="Q10" i="4"/>
  <c r="Q11" i="4"/>
  <c r="Q12" i="4"/>
  <c r="Q13" i="4"/>
  <c r="Q14" i="4"/>
  <c r="Q15" i="4"/>
  <c r="Q16" i="4"/>
  <c r="Q17" i="4"/>
  <c r="Q6" i="4"/>
  <c r="H7" i="4"/>
  <c r="H8" i="4"/>
  <c r="H9" i="4"/>
  <c r="H10" i="4"/>
  <c r="H11" i="4"/>
  <c r="H12" i="4"/>
  <c r="H13" i="4"/>
  <c r="H14" i="4"/>
  <c r="H15" i="4"/>
  <c r="H16" i="4"/>
  <c r="H17" i="4"/>
  <c r="H6" i="4"/>
  <c r="J18" i="4" l="1"/>
  <c r="I18" i="4"/>
  <c r="F18" i="4"/>
  <c r="B18" i="4"/>
  <c r="P18" i="4"/>
  <c r="O18" i="4"/>
  <c r="Q18" i="4" s="1"/>
  <c r="N18" i="4"/>
  <c r="M18" i="4"/>
  <c r="L18" i="4"/>
  <c r="K18" i="4"/>
  <c r="G18" i="4"/>
  <c r="E18" i="4"/>
  <c r="D18" i="4"/>
  <c r="C18" i="4"/>
  <c r="H18" i="4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<sst xmlns="http://schemas.openxmlformats.org/spreadsheetml/2006/main" count="26" uniqueCount="24">
  <si>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</si>
  <si>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</si>
  <si>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</si>
  <si>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</si>
  <si>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</si>
  <si>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</si>
  <si>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</si>
  <si>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</si>
  <si>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</si>
  <si>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</si>
  <si>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</si>
  <si>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</si>
  <si>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</si>
  <si>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</si>
  <si>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</si>
  <si>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</si>
  <si>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</si>
  <si>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</si>
  <si>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</si>
  <si>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(इंडिगो) </t>
  </si>
  <si>
    <t>Table 1.02 (INDIGO)</t>
  </si>
  <si>
    <t>SOURCE:-  ICAO ATR FORM 'A' FURNISHED BY INDIGO</t>
  </si>
  <si>
    <t>2019-20</t>
  </si>
  <si>
    <t>MONTHLY TRAFFIC AND OPERATING STATISTICS OF INDIGO ON SCHEDULED INTERNATIONAL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</si>
</sst>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19">
    <xf numFmtId="0" fontId="0" fillId="0" borderId="0" xfId="0"/>
    <xf numFmtId="17" fontId="2" fillId="2" borderId="1" xfId="0" applyNumberFormat="1" applyFont="1" applyFill="1" applyBorder="1" applyAlignment="1" applyProtection="1">
      <alignment horizontal="center" vertical="center" wrapText="1"/>
    </xf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7" fontId="3" fillId="4" borderId="1" xfId="3" applyNumberForma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workbookViewId="0">
      <selection activeCell="W5" sqref="W5"/>
    </sheetView>
  </sheetViews>
  <sheetFormatPr defaultRowHeight="15" x14ac:dyDescent="0.25"/>
  <cols>
    <col min="1" max="1" width="7.5703125" customWidth="1"/>
    <col min="2" max="2" width="7.140625" customWidth="1"/>
    <col min="3" max="4" width="8.85546875" customWidth="1"/>
    <col min="5" max="5" width="10" bestFit="1" customWidth="1"/>
    <col min="6" max="6" width="7.42578125" customWidth="1"/>
    <col min="7" max="7" width="7.5703125" customWidth="1"/>
    <col min="8" max="8" width="6.85546875" customWidth="1"/>
    <col min="10" max="10" width="4.85546875" customWidth="1"/>
    <col min="11" max="11" width="9" customWidth="1"/>
    <col min="12" max="12" width="7.85546875" customWidth="1"/>
    <col min="13" max="13" width="5.28515625" customWidth="1"/>
    <col min="14" max="14" width="4.85546875" customWidth="1"/>
    <col min="15" max="15" width="8" customWidth="1"/>
    <col min="17" max="17" width="6" customWidth="1"/>
  </cols>
  <sheetData>
    <row r="1" spans="1:17" ht="15" customHeight="1" x14ac:dyDescent="0.25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5" customHeight="1" x14ac:dyDescent="0.25">
      <c r="A2" s="15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5" customHeight="1" x14ac:dyDescent="0.25">
      <c r="A3" s="17" t="s">
        <v>23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30.6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1" t="s">
        <v>3</v>
      </c>
      <c r="H4" s="11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1" t="s">
        <v>7</v>
      </c>
      <c r="Q4" s="11" t="s">
        <v>8</v>
      </c>
    </row>
    <row r="5" spans="1:17" ht="101.25" customHeight="1" x14ac:dyDescent="0.25">
      <c r="A5" s="17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2"/>
      <c r="H5" s="12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2"/>
      <c r="Q5" s="12"/>
    </row>
    <row r="6" spans="1:17" x14ac:dyDescent="0.25">
      <c r="A6" s="4">
        <v>43556</v>
      </c>
      <c r="B6" s="5">
        <v>3295</v>
      </c>
      <c r="C6" s="5">
        <v>12696.03</v>
      </c>
      <c r="D6" s="5">
        <v>8178.4620000000004</v>
      </c>
      <c r="E6" s="5">
        <v>505911</v>
      </c>
      <c r="F6" s="5">
        <v>1261.877</v>
      </c>
      <c r="G6" s="5">
        <v>1468.6647700000001</v>
      </c>
      <c r="H6" s="6">
        <f>F6/G6*100</f>
        <v>85.92001563433702</v>
      </c>
      <c r="I6" s="6">
        <v>2570.77</v>
      </c>
      <c r="J6" s="6">
        <v>0</v>
      </c>
      <c r="K6" s="6">
        <v>2570.77</v>
      </c>
      <c r="L6" s="6">
        <v>113.22477000000001</v>
      </c>
      <c r="M6" s="6">
        <v>6.4101599999999994</v>
      </c>
      <c r="N6" s="6">
        <v>0</v>
      </c>
      <c r="O6" s="6">
        <v>119.63493000000001</v>
      </c>
      <c r="P6" s="6">
        <v>165.28163000000001</v>
      </c>
      <c r="Q6" s="6">
        <f>O6/P6*100</f>
        <v>72.382472268696773</v>
      </c>
    </row>
    <row r="7" spans="1:17" x14ac:dyDescent="0.25">
      <c r="A7" s="1">
        <v>43586</v>
      </c>
      <c r="B7" s="2">
        <v>3146</v>
      </c>
      <c r="C7" s="2">
        <v>12181</v>
      </c>
      <c r="D7" s="2">
        <v>7857.857</v>
      </c>
      <c r="E7" s="2">
        <v>482988</v>
      </c>
      <c r="F7" s="2">
        <v>1222.0350000000001</v>
      </c>
      <c r="G7" s="2">
        <v>1418.7729999999999</v>
      </c>
      <c r="H7" s="3">
        <f t="shared" ref="H7:H18" si="0">F7/G7*100</f>
        <v>86.133229205799665</v>
      </c>
      <c r="I7" s="3">
        <v>2588.4789999999994</v>
      </c>
      <c r="J7" s="3">
        <v>0</v>
      </c>
      <c r="K7" s="3">
        <v>2588.4789999999994</v>
      </c>
      <c r="L7" s="3">
        <v>109.98302427000006</v>
      </c>
      <c r="M7" s="3">
        <v>6.4855518809999966</v>
      </c>
      <c r="N7" s="3">
        <v>0</v>
      </c>
      <c r="O7" s="3">
        <v>116.46857615100005</v>
      </c>
      <c r="P7" s="3">
        <v>159.7849916320001</v>
      </c>
      <c r="Q7" s="3">
        <f t="shared" ref="Q7:Q18" si="1">O7/P7*100</f>
        <v>72.89081093375664</v>
      </c>
    </row>
    <row r="8" spans="1:17" x14ac:dyDescent="0.25">
      <c r="A8" s="4">
        <v>43617</v>
      </c>
      <c r="B8" s="5">
        <v>3264</v>
      </c>
      <c r="C8" s="5">
        <v>12491.666666666666</v>
      </c>
      <c r="D8" s="5">
        <v>8127.8770000000004</v>
      </c>
      <c r="E8" s="5">
        <v>508202</v>
      </c>
      <c r="F8" s="5">
        <v>1272.375</v>
      </c>
      <c r="G8" s="5">
        <v>1481.84</v>
      </c>
      <c r="H8" s="6">
        <f t="shared" si="0"/>
        <v>85.86453328294553</v>
      </c>
      <c r="I8" s="6">
        <v>2504.826</v>
      </c>
      <c r="J8" s="6">
        <v>0</v>
      </c>
      <c r="K8" s="6">
        <v>2504.826</v>
      </c>
      <c r="L8" s="6">
        <v>114.5138571</v>
      </c>
      <c r="M8" s="6">
        <v>6.378823691</v>
      </c>
      <c r="N8" s="6">
        <v>0</v>
      </c>
      <c r="O8" s="6">
        <v>120.89268079099999</v>
      </c>
      <c r="P8" s="6">
        <v>166.97038043700002</v>
      </c>
      <c r="Q8" s="6">
        <f t="shared" si="1"/>
        <v>72.403668527672963</v>
      </c>
    </row>
    <row r="9" spans="1:17" x14ac:dyDescent="0.25">
      <c r="A9" s="1">
        <v>43647</v>
      </c>
      <c r="B9" s="2">
        <v>3680</v>
      </c>
      <c r="C9" s="2">
        <v>13658.35</v>
      </c>
      <c r="D9" s="2">
        <v>8940.518</v>
      </c>
      <c r="E9" s="2">
        <v>545117</v>
      </c>
      <c r="F9" s="2">
        <v>1324.527</v>
      </c>
      <c r="G9" s="2">
        <v>1664.2929999999999</v>
      </c>
      <c r="H9" s="3">
        <f t="shared" si="0"/>
        <v>79.584964907020577</v>
      </c>
      <c r="I9" s="3">
        <v>3204.2949999999996</v>
      </c>
      <c r="J9" s="3">
        <v>0</v>
      </c>
      <c r="K9" s="3">
        <v>3204.2949999999996</v>
      </c>
      <c r="L9" s="3">
        <v>119.20711167</v>
      </c>
      <c r="M9" s="3">
        <v>7.9925531330000004</v>
      </c>
      <c r="N9" s="3">
        <v>0</v>
      </c>
      <c r="O9" s="3">
        <v>127.19966480299999</v>
      </c>
      <c r="P9" s="3">
        <v>187.71906115900001</v>
      </c>
      <c r="Q9" s="3">
        <f t="shared" si="1"/>
        <v>67.760654681338167</v>
      </c>
    </row>
    <row r="10" spans="1:17" x14ac:dyDescent="0.25">
      <c r="A10" s="4">
        <v>43678</v>
      </c>
      <c r="B10" s="5">
        <v>4070</v>
      </c>
      <c r="C10" s="5">
        <v>15003</v>
      </c>
      <c r="D10" s="5">
        <v>9942.2219999999998</v>
      </c>
      <c r="E10" s="5">
        <v>584501</v>
      </c>
      <c r="F10" s="5">
        <v>1419.0250000000001</v>
      </c>
      <c r="G10" s="5">
        <v>1852.296</v>
      </c>
      <c r="H10" s="6">
        <f t="shared" si="0"/>
        <v>76.608976103171429</v>
      </c>
      <c r="I10" s="6">
        <v>3209.9569999999999</v>
      </c>
      <c r="J10" s="6">
        <v>0</v>
      </c>
      <c r="K10" s="6">
        <v>3209.9569999999999</v>
      </c>
      <c r="L10" s="6">
        <v>127.71196695</v>
      </c>
      <c r="M10" s="6">
        <v>8.1665914310000005</v>
      </c>
      <c r="N10" s="6">
        <v>0</v>
      </c>
      <c r="O10" s="6">
        <v>135.878558381</v>
      </c>
      <c r="P10" s="6">
        <v>212.96016736299998</v>
      </c>
      <c r="Q10" s="6">
        <f t="shared" si="1"/>
        <v>63.804682379587454</v>
      </c>
    </row>
    <row r="11" spans="1:17" x14ac:dyDescent="0.25">
      <c r="A11" s="1">
        <v>43709</v>
      </c>
      <c r="B11" s="2">
        <v>4279</v>
      </c>
      <c r="C11" s="2">
        <v>16199.06</v>
      </c>
      <c r="D11" s="2">
        <v>10717.355</v>
      </c>
      <c r="E11" s="2">
        <v>592799</v>
      </c>
      <c r="F11" s="2">
        <v>1457.4359999999999</v>
      </c>
      <c r="G11" s="2">
        <v>1981.627</v>
      </c>
      <c r="H11" s="3">
        <f t="shared" si="0"/>
        <v>73.547443590544532</v>
      </c>
      <c r="I11" s="3">
        <v>3459.4119999999998</v>
      </c>
      <c r="J11" s="3">
        <v>0</v>
      </c>
      <c r="K11" s="3">
        <v>3459.4119999999998</v>
      </c>
      <c r="L11" s="3">
        <v>131.16930929999998</v>
      </c>
      <c r="M11" s="3">
        <v>8.6860186489999993</v>
      </c>
      <c r="N11" s="3">
        <v>0</v>
      </c>
      <c r="O11" s="3">
        <v>139.85532794899999</v>
      </c>
      <c r="P11" s="3">
        <v>223.94474026200001</v>
      </c>
      <c r="Q11" s="3">
        <f t="shared" si="1"/>
        <v>62.450820584300772</v>
      </c>
    </row>
    <row r="12" spans="1:17" x14ac:dyDescent="0.25">
      <c r="A12" s="4">
        <v>43739</v>
      </c>
      <c r="B12" s="5">
        <v>4526</v>
      </c>
      <c r="C12" s="5">
        <v>17221.59</v>
      </c>
      <c r="D12" s="5">
        <v>11189.4</v>
      </c>
      <c r="E12" s="5">
        <v>646108</v>
      </c>
      <c r="F12" s="5">
        <v>1584.9079999999999</v>
      </c>
      <c r="G12" s="5">
        <v>2015.366</v>
      </c>
      <c r="H12" s="6">
        <f t="shared" si="0"/>
        <v>78.641199662989251</v>
      </c>
      <c r="I12" s="6">
        <v>3000.3159999999998</v>
      </c>
      <c r="J12" s="6">
        <v>0</v>
      </c>
      <c r="K12" s="6">
        <v>3000.3159999999998</v>
      </c>
      <c r="L12" s="6">
        <v>142.61713362</v>
      </c>
      <c r="M12" s="6">
        <v>7.4127265610000004</v>
      </c>
      <c r="N12" s="6">
        <v>0</v>
      </c>
      <c r="O12" s="6">
        <v>150.029860181</v>
      </c>
      <c r="P12" s="6">
        <v>233.48334968200001</v>
      </c>
      <c r="Q12" s="6">
        <f t="shared" si="1"/>
        <v>64.257198804684748</v>
      </c>
    </row>
    <row r="13" spans="1:17" x14ac:dyDescent="0.25">
      <c r="A13" s="1">
        <v>43770</v>
      </c>
      <c r="B13" s="2">
        <v>4582</v>
      </c>
      <c r="C13" s="2">
        <v>17585.53</v>
      </c>
      <c r="D13" s="2">
        <v>11368.671</v>
      </c>
      <c r="E13" s="2">
        <v>695212</v>
      </c>
      <c r="F13" s="2">
        <v>1715.1</v>
      </c>
      <c r="G13" s="2">
        <v>2043.7190000000001</v>
      </c>
      <c r="H13" s="3">
        <f t="shared" si="0"/>
        <v>83.920538978205911</v>
      </c>
      <c r="I13" s="3">
        <v>2972.1790000000001</v>
      </c>
      <c r="J13" s="3">
        <v>0</v>
      </c>
      <c r="K13" s="3">
        <v>2972.1790000000001</v>
      </c>
      <c r="L13" s="3">
        <v>154.35920816999999</v>
      </c>
      <c r="M13" s="3">
        <v>7.2091301810000008</v>
      </c>
      <c r="N13" s="3">
        <v>0</v>
      </c>
      <c r="O13" s="3">
        <v>161.56833835099999</v>
      </c>
      <c r="P13" s="3">
        <v>231.60912627000002</v>
      </c>
      <c r="Q13" s="3">
        <f t="shared" si="1"/>
        <v>69.759055246661788</v>
      </c>
    </row>
    <row r="14" spans="1:17" x14ac:dyDescent="0.25">
      <c r="A14" s="4">
        <v>43800</v>
      </c>
      <c r="B14" s="5">
        <v>4887</v>
      </c>
      <c r="C14" s="5">
        <v>18875.766666666666</v>
      </c>
      <c r="D14" s="5">
        <v>12229.790999999999</v>
      </c>
      <c r="E14" s="5">
        <v>773623</v>
      </c>
      <c r="F14" s="5">
        <v>1927.634</v>
      </c>
      <c r="G14" s="5">
        <v>2189.7779999999998</v>
      </c>
      <c r="H14" s="6">
        <f t="shared" si="0"/>
        <v>88.028740812995665</v>
      </c>
      <c r="I14" s="6">
        <v>3083.3649999999998</v>
      </c>
      <c r="J14" s="6">
        <v>0</v>
      </c>
      <c r="K14" s="6">
        <v>3083.3649999999998</v>
      </c>
      <c r="L14" s="6">
        <v>173.43895670999999</v>
      </c>
      <c r="M14" s="6">
        <v>7.4450561219999996</v>
      </c>
      <c r="N14" s="6">
        <v>0</v>
      </c>
      <c r="O14" s="6">
        <v>180.884012832</v>
      </c>
      <c r="P14" s="6">
        <v>250.28139000799999</v>
      </c>
      <c r="Q14" s="6">
        <f t="shared" si="1"/>
        <v>72.272258367359328</v>
      </c>
    </row>
    <row r="15" spans="1:17" x14ac:dyDescent="0.25">
      <c r="A15" s="1">
        <v>43831</v>
      </c>
      <c r="B15" s="2">
        <v>4831</v>
      </c>
      <c r="C15" s="2">
        <v>18788.45</v>
      </c>
      <c r="D15" s="2">
        <v>12085.675999999999</v>
      </c>
      <c r="E15" s="2">
        <v>751983</v>
      </c>
      <c r="F15" s="2">
        <v>1873.376</v>
      </c>
      <c r="G15" s="2">
        <v>2189.558</v>
      </c>
      <c r="H15" s="3">
        <f t="shared" si="0"/>
        <v>85.559551288433553</v>
      </c>
      <c r="I15" s="3">
        <v>3276.9209999999998</v>
      </c>
      <c r="J15" s="3"/>
      <c r="K15" s="3">
        <v>3276.9209999999998</v>
      </c>
      <c r="L15" s="3">
        <v>168.60439341</v>
      </c>
      <c r="M15" s="3">
        <v>7.9698664450000001</v>
      </c>
      <c r="N15" s="3">
        <v>0</v>
      </c>
      <c r="O15" s="3">
        <v>176.57425985499998</v>
      </c>
      <c r="P15" s="3">
        <v>250.823015873</v>
      </c>
      <c r="Q15" s="3">
        <f t="shared" si="1"/>
        <v>70.397949422793545</v>
      </c>
    </row>
    <row r="16" spans="1:17" x14ac:dyDescent="0.25">
      <c r="A16" s="4">
        <v>43862</v>
      </c>
      <c r="B16" s="5">
        <v>4364</v>
      </c>
      <c r="C16" s="5">
        <v>16541.349999999999</v>
      </c>
      <c r="D16" s="5">
        <v>10781.079</v>
      </c>
      <c r="E16" s="5">
        <v>621387</v>
      </c>
      <c r="F16" s="5">
        <v>1515.8130000000001</v>
      </c>
      <c r="G16" s="5">
        <v>1981.845</v>
      </c>
      <c r="H16" s="6">
        <f t="shared" si="0"/>
        <v>76.484942061563856</v>
      </c>
      <c r="I16" s="6">
        <v>3681.2829999999999</v>
      </c>
      <c r="J16" s="6"/>
      <c r="K16" s="6">
        <v>3681.2829999999999</v>
      </c>
      <c r="L16" s="6">
        <v>136.42269876</v>
      </c>
      <c r="M16" s="6">
        <v>9.1598569229999995</v>
      </c>
      <c r="N16" s="6">
        <v>0</v>
      </c>
      <c r="O16" s="6">
        <v>145.58255568300001</v>
      </c>
      <c r="P16" s="6">
        <v>224.756816418</v>
      </c>
      <c r="Q16" s="6">
        <f t="shared" si="1"/>
        <v>64.773366166678272</v>
      </c>
    </row>
    <row r="17" spans="1:17" x14ac:dyDescent="0.25">
      <c r="A17" s="1">
        <v>43891</v>
      </c>
      <c r="B17" s="2">
        <v>2061</v>
      </c>
      <c r="C17" s="2">
        <v>7485.34</v>
      </c>
      <c r="D17" s="2">
        <v>4859.2579999999998</v>
      </c>
      <c r="E17" s="2">
        <v>259243</v>
      </c>
      <c r="F17" s="2">
        <v>609.57100000000003</v>
      </c>
      <c r="G17" s="2">
        <v>901.21600000000001</v>
      </c>
      <c r="H17" s="3">
        <f t="shared" si="0"/>
        <v>67.638723680005683</v>
      </c>
      <c r="I17" s="3">
        <v>2124.8009999999999</v>
      </c>
      <c r="J17" s="3"/>
      <c r="K17" s="3">
        <v>2124.8009999999999</v>
      </c>
      <c r="L17" s="3">
        <v>54.860901120000001</v>
      </c>
      <c r="M17" s="3">
        <v>4.9499241820000002</v>
      </c>
      <c r="N17" s="3">
        <v>0</v>
      </c>
      <c r="O17" s="3">
        <v>59.810825302000005</v>
      </c>
      <c r="P17" s="3">
        <v>102.664546688</v>
      </c>
      <c r="Q17" s="3">
        <f t="shared" si="1"/>
        <v>58.258500360174502</v>
      </c>
    </row>
    <row r="18" spans="1:17" x14ac:dyDescent="0.25">
      <c r="A18" s="7" t="s">
        <v>22</v>
      </c>
      <c r="B18" s="8">
        <f>SUM(B6:B17)</f>
        <v>46985</v>
      </c>
      <c r="C18" s="8">
        <f t="shared" ref="C18:P18" si="2">SUM(C6:C17)</f>
        <v>178727.13333333333</v>
      </c>
      <c r="D18" s="8">
        <f t="shared" si="2"/>
        <v>116278.166</v>
      </c>
      <c r="E18" s="8">
        <f t="shared" si="2"/>
        <v>6967074</v>
      </c>
      <c r="F18" s="8">
        <f t="shared" si="2"/>
        <v>17183.677</v>
      </c>
      <c r="G18" s="8">
        <f t="shared" si="2"/>
        <v>21188.975770000001</v>
      </c>
      <c r="H18" s="9">
        <f t="shared" si="0"/>
        <v>81.09725163936038</v>
      </c>
      <c r="I18" s="9">
        <f t="shared" si="2"/>
        <v>35676.603999999992</v>
      </c>
      <c r="J18" s="9">
        <f t="shared" si="2"/>
        <v>0</v>
      </c>
      <c r="K18" s="9">
        <f t="shared" si="2"/>
        <v>35676.603999999992</v>
      </c>
      <c r="L18" s="9">
        <f t="shared" si="2"/>
        <v>1546.1133310800003</v>
      </c>
      <c r="M18" s="9">
        <f t="shared" si="2"/>
        <v>88.266259199000004</v>
      </c>
      <c r="N18" s="9">
        <f t="shared" si="2"/>
        <v>0</v>
      </c>
      <c r="O18" s="9">
        <f t="shared" si="2"/>
        <v>1634.379590279</v>
      </c>
      <c r="P18" s="9">
        <f t="shared" si="2"/>
        <v>2410.2792157920003</v>
      </c>
      <c r="Q18" s="9">
        <f t="shared" si="1"/>
        <v>67.80872438224776</v>
      </c>
    </row>
    <row r="19" spans="1:17" ht="15" customHeight="1" x14ac:dyDescent="0.25">
      <c r="A19" s="13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2020-06-11T07:57:17Z</cp:lastPrinted>
  <dcterms:created xsi:type="dcterms:W3CDTF">2018-10-29T04:00:09Z</dcterms:created>
  <dcterms:modified xsi:type="dcterms:W3CDTF">2021-09-15T00:28:14Z</dcterms:modified>
</cp:coreProperties>
</file>