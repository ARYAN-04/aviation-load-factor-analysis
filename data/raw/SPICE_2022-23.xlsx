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<sst xmlns="http://schemas.openxmlformats.org/spreadsheetml/2006/main" count="153" uniqueCount="42">
  <si>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</si>
  <si>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SPICEJET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</si>
  <si>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</si>
  <si>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</si>
  <si>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</si>
  <si>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</si>
  <si>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</si>
  <si>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</si>
  <si>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</si>
  <si>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</si>
  <si>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</si>
  <si>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</si>
  <si>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</si>
  <si>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</si>
  <si>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</si>
  <si>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</si>
  <si>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</si>
  <si>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</si>
  <si>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</si>
  <si>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</si>
  <si>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</si>
  <si>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</si>
  <si>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</si>
  <si>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</si>
  <si>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</si>
  <si>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</si>
  <si>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</si>
  <si>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</si>
  <si>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</si>
  <si>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</si>
  <si>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</si>
  <si>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</si>
  <si>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</si>
  <si>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</si>
  <si>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</si>
  <si>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SPICEJET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</si>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</sst>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2/New%20folder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85" zoomScaleNormal="85" zoomScaleSheetLayoutView="85" workbookViewId="0">
      <selection activeCell="N65" sqref="N65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2022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7007</v>
      </c>
      <c r="C4" s="5">
        <v>10515.283333333333</v>
      </c>
      <c r="D4" s="6">
        <v>6119.5469999999996</v>
      </c>
      <c r="E4" s="7">
        <v>679827</v>
      </c>
      <c r="F4" s="5">
        <v>681716.7</v>
      </c>
      <c r="G4" s="5">
        <v>928732.36699999997</v>
      </c>
      <c r="H4" s="8">
        <f>IFERROR(F4/G4*100," ")</f>
        <v>73.40292254506943</v>
      </c>
      <c r="I4" s="9">
        <v>3701.5385399999932</v>
      </c>
      <c r="J4" s="10"/>
      <c r="K4" s="8">
        <f>IF(AND(ISBLANK(I4),ISBLANK(J4))=TRUE,"",I4+J4)</f>
        <v>3701.5385399999932</v>
      </c>
      <c r="L4" s="9">
        <v>51128.75250000001</v>
      </c>
      <c r="M4" s="10">
        <v>4373.8315727299923</v>
      </c>
      <c r="N4" s="10"/>
      <c r="O4" s="8">
        <f>IF(AND(ISBLANK(L4),ISBLANK(M4),ISBLANK(N4))=TRUE,"",L4+M4+N4)</f>
        <v>55502.584072730002</v>
      </c>
      <c r="P4" s="10">
        <v>85517.438999999998</v>
      </c>
      <c r="Q4" s="8">
        <f>IFERROR(O4/P4*100," ")</f>
        <v>64.902065264992331</v>
      </c>
    </row>
    <row r="5" spans="1:17" ht="23.1" customHeight="1" x14ac:dyDescent="0.3">
      <c r="A5" s="11" t="s">
        <v>23</v>
      </c>
      <c r="B5" s="12">
        <v>6903</v>
      </c>
      <c r="C5" s="12">
        <v>10332.799999999999</v>
      </c>
      <c r="D5" s="11">
        <v>5955.0029999999997</v>
      </c>
      <c r="E5" s="13">
        <v>820397</v>
      </c>
      <c r="F5" s="12">
        <v>790004.28899999999</v>
      </c>
      <c r="G5" s="12">
        <v>887039.08499999996</v>
      </c>
      <c r="H5" s="14">
        <f t="shared" ref="H5:H16" si="0">IFERROR(F5/G5*100," ")</f>
        <v>89.060820696531096</v>
      </c>
      <c r="I5" s="15">
        <v>3266.4050599999996</v>
      </c>
      <c r="J5" s="16"/>
      <c r="K5" s="14">
        <f t="shared" ref="K5:K16" si="1">IF(AND(ISBLANK(I5),ISBLANK(J5))=TRUE,"",I5+J5)</f>
        <v>3266.4050599999996</v>
      </c>
      <c r="L5" s="15">
        <v>59250.321675000014</v>
      </c>
      <c r="M5" s="16">
        <v>3739.3184495100022</v>
      </c>
      <c r="N5" s="16"/>
      <c r="O5" s="14">
        <f t="shared" ref="O5:O16" si="2">IF(AND(ISBLANK(L5),ISBLANK(M5),ISBLANK(N5))=TRUE,"",L5+M5+N5)</f>
        <v>62989.640124510013</v>
      </c>
      <c r="P5" s="16">
        <v>82133.478499999997</v>
      </c>
      <c r="Q5" s="14">
        <f t="shared" ref="Q5:Q16" si="3">IFERROR(O5/P5*100," ")</f>
        <v>76.691796420761619</v>
      </c>
    </row>
    <row r="6" spans="1:17" ht="23.1" customHeight="1" x14ac:dyDescent="0.3">
      <c r="A6" s="17" t="s">
        <v>24</v>
      </c>
      <c r="B6" s="18">
        <v>8722</v>
      </c>
      <c r="C6" s="18">
        <v>13264.133333333333</v>
      </c>
      <c r="D6" s="17">
        <v>7731.7889999999998</v>
      </c>
      <c r="E6" s="19">
        <v>1020817</v>
      </c>
      <c r="F6" s="18">
        <v>1013447.149</v>
      </c>
      <c r="G6" s="18">
        <v>1166633.683</v>
      </c>
      <c r="H6" s="20">
        <f t="shared" si="0"/>
        <v>86.869354431282957</v>
      </c>
      <c r="I6" s="21">
        <v>4084.6805000000022</v>
      </c>
      <c r="J6" s="22"/>
      <c r="K6" s="20">
        <f t="shared" si="1"/>
        <v>4084.6805000000022</v>
      </c>
      <c r="L6" s="21">
        <v>76008.536174999885</v>
      </c>
      <c r="M6" s="22">
        <v>4805.7472981399942</v>
      </c>
      <c r="N6" s="22"/>
      <c r="O6" s="20">
        <f t="shared" si="2"/>
        <v>80814.283473139876</v>
      </c>
      <c r="P6" s="22">
        <v>107108.6685</v>
      </c>
      <c r="Q6" s="20">
        <f t="shared" si="3"/>
        <v>75.450740453504821</v>
      </c>
    </row>
    <row r="7" spans="1:17" ht="23.1" customHeight="1" x14ac:dyDescent="0.3">
      <c r="A7" s="11" t="s">
        <v>25</v>
      </c>
      <c r="B7" s="12">
        <v>8709</v>
      </c>
      <c r="C7" s="12">
        <v>13350.9</v>
      </c>
      <c r="D7" s="11">
        <v>7812.2839999999997</v>
      </c>
      <c r="E7" s="13">
        <v>1000901</v>
      </c>
      <c r="F7" s="12">
        <v>1011623.0649999999</v>
      </c>
      <c r="G7" s="12">
        <v>1178059.2549999999</v>
      </c>
      <c r="H7" s="14">
        <f t="shared" si="0"/>
        <v>85.87200182897422</v>
      </c>
      <c r="I7" s="15">
        <v>4560.8275199999871</v>
      </c>
      <c r="J7" s="16"/>
      <c r="K7" s="14">
        <f t="shared" si="1"/>
        <v>4560.8275199999871</v>
      </c>
      <c r="L7" s="15">
        <v>75871.729875000034</v>
      </c>
      <c r="M7" s="16">
        <v>5422.0501219100033</v>
      </c>
      <c r="N7" s="16">
        <v>0</v>
      </c>
      <c r="O7" s="14">
        <f t="shared" si="2"/>
        <v>81293.779996910031</v>
      </c>
      <c r="P7" s="16">
        <v>107677.645</v>
      </c>
      <c r="Q7" s="14">
        <f t="shared" si="3"/>
        <v>75.4973606609896</v>
      </c>
    </row>
    <row r="8" spans="1:17" s="23" customFormat="1" ht="30" customHeight="1" x14ac:dyDescent="0.25">
      <c r="A8" s="17" t="s">
        <v>26</v>
      </c>
      <c r="B8" s="18">
        <v>9675</v>
      </c>
      <c r="C8" s="18">
        <v>14959.616666666667</v>
      </c>
      <c r="D8" s="17">
        <v>8731.884</v>
      </c>
      <c r="E8" s="19">
        <v>1152182</v>
      </c>
      <c r="F8" s="18">
        <v>1181830.8419999999</v>
      </c>
      <c r="G8" s="18">
        <v>1326543.9010000001</v>
      </c>
      <c r="H8" s="20">
        <f t="shared" si="0"/>
        <v>89.090970989282013</v>
      </c>
      <c r="I8" s="21">
        <v>4537.1880299999975</v>
      </c>
      <c r="J8" s="22"/>
      <c r="K8" s="20">
        <f t="shared" si="1"/>
        <v>4537.1880299999975</v>
      </c>
      <c r="L8" s="21">
        <v>88637.313150000031</v>
      </c>
      <c r="M8" s="22">
        <v>5578.8537083900028</v>
      </c>
      <c r="N8" s="22"/>
      <c r="O8" s="20">
        <f t="shared" si="2"/>
        <v>94216.166858390032</v>
      </c>
      <c r="P8" s="22">
        <v>121211.5285</v>
      </c>
      <c r="Q8" s="20">
        <f t="shared" si="3"/>
        <v>77.728717741885447</v>
      </c>
    </row>
    <row r="9" spans="1:17" ht="23.1" customHeight="1" x14ac:dyDescent="0.3">
      <c r="A9" s="11" t="s">
        <v>27</v>
      </c>
      <c r="B9" s="12">
        <v>8922</v>
      </c>
      <c r="C9" s="12">
        <v>13806.85</v>
      </c>
      <c r="D9" s="11">
        <v>7998.93</v>
      </c>
      <c r="E9" s="13">
        <v>1001649</v>
      </c>
      <c r="F9" s="12">
        <v>1013624.9939999999</v>
      </c>
      <c r="G9" s="12">
        <v>1205972.8119999999</v>
      </c>
      <c r="H9" s="14">
        <f t="shared" si="0"/>
        <v>84.050401792971769</v>
      </c>
      <c r="I9" s="15">
        <v>4329.3436099999999</v>
      </c>
      <c r="J9" s="16"/>
      <c r="K9" s="14">
        <f t="shared" si="1"/>
        <v>4329.3436099999999</v>
      </c>
      <c r="L9" s="15">
        <v>76021.874549999993</v>
      </c>
      <c r="M9" s="16">
        <v>5318.644149310001</v>
      </c>
      <c r="N9" s="16"/>
      <c r="O9" s="14">
        <f t="shared" si="2"/>
        <v>81340.518699309992</v>
      </c>
      <c r="P9" s="16">
        <v>110540.37450000001</v>
      </c>
      <c r="Q9" s="14">
        <f t="shared" si="3"/>
        <v>73.58444284925956</v>
      </c>
    </row>
    <row r="10" spans="1:17" ht="23.1" customHeight="1" x14ac:dyDescent="0.3">
      <c r="A10" s="17" t="s">
        <v>28</v>
      </c>
      <c r="B10" s="18">
        <v>6605</v>
      </c>
      <c r="C10" s="18">
        <v>10432.283333333333</v>
      </c>
      <c r="D10" s="17">
        <v>6115.7169999999996</v>
      </c>
      <c r="E10" s="19">
        <v>775824</v>
      </c>
      <c r="F10" s="18">
        <v>793607.19400000002</v>
      </c>
      <c r="G10" s="18">
        <v>937033.89099999995</v>
      </c>
      <c r="H10" s="20">
        <f t="shared" si="0"/>
        <v>84.693542210417235</v>
      </c>
      <c r="I10" s="21">
        <v>4133.8905200000008</v>
      </c>
      <c r="J10" s="22"/>
      <c r="K10" s="20">
        <f t="shared" si="1"/>
        <v>4133.8905200000008</v>
      </c>
      <c r="L10" s="21">
        <v>59520.539549999914</v>
      </c>
      <c r="M10" s="22">
        <v>5068.4545364999976</v>
      </c>
      <c r="N10" s="22"/>
      <c r="O10" s="20">
        <f t="shared" si="2"/>
        <v>64588.994086499908</v>
      </c>
      <c r="P10" s="22">
        <v>86150.339000000007</v>
      </c>
      <c r="Q10" s="20">
        <f t="shared" si="3"/>
        <v>74.972420116071632</v>
      </c>
    </row>
    <row r="11" spans="1:17" ht="23.1" customHeight="1" x14ac:dyDescent="0.3">
      <c r="A11" s="11" t="s">
        <v>29</v>
      </c>
      <c r="B11" s="12">
        <v>6850</v>
      </c>
      <c r="C11" s="12">
        <v>10655.466666666667</v>
      </c>
      <c r="D11" s="11">
        <v>6253.6440000000002</v>
      </c>
      <c r="E11" s="13">
        <v>798347</v>
      </c>
      <c r="F11" s="12">
        <v>809044.06799999997</v>
      </c>
      <c r="G11" s="12">
        <v>956491.49699999997</v>
      </c>
      <c r="H11" s="14">
        <f t="shared" si="0"/>
        <v>84.584554126987712</v>
      </c>
      <c r="I11" s="15">
        <v>3885.3024700000001</v>
      </c>
      <c r="J11" s="16"/>
      <c r="K11" s="14">
        <f t="shared" si="1"/>
        <v>3885.3024700000001</v>
      </c>
      <c r="L11" s="15">
        <v>60678.305099999954</v>
      </c>
      <c r="M11" s="16">
        <v>4786.9991046399973</v>
      </c>
      <c r="N11" s="16"/>
      <c r="O11" s="14">
        <f t="shared" si="2"/>
        <v>65465.30420463995</v>
      </c>
      <c r="P11" s="16">
        <v>89070.604999999996</v>
      </c>
      <c r="Q11" s="14">
        <f t="shared" si="3"/>
        <v>73.498214371217031</v>
      </c>
    </row>
    <row r="12" spans="1:17" ht="23.1" customHeight="1" x14ac:dyDescent="0.3">
      <c r="A12" s="17" t="s">
        <v>30</v>
      </c>
      <c r="B12" s="18">
        <v>6233</v>
      </c>
      <c r="C12" s="18">
        <v>5774.4549999999999</v>
      </c>
      <c r="D12" s="17">
        <v>9703.9666666666672</v>
      </c>
      <c r="E12" s="19">
        <v>753485</v>
      </c>
      <c r="F12" s="18">
        <v>766968.57900000003</v>
      </c>
      <c r="G12" s="18">
        <v>894269.31200000003</v>
      </c>
      <c r="H12" s="20">
        <f t="shared" si="0"/>
        <v>85.764832663742354</v>
      </c>
      <c r="I12" s="21">
        <v>3639.4234700000047</v>
      </c>
      <c r="J12" s="22"/>
      <c r="K12" s="20">
        <f t="shared" si="1"/>
        <v>3639.4234700000047</v>
      </c>
      <c r="L12" s="21">
        <v>57522.643425000031</v>
      </c>
      <c r="M12" s="22">
        <v>4367.9168830899998</v>
      </c>
      <c r="N12" s="22"/>
      <c r="O12" s="20">
        <f t="shared" si="2"/>
        <v>61890.560308090033</v>
      </c>
      <c r="P12" s="22">
        <v>82572.473499999993</v>
      </c>
      <c r="Q12" s="20">
        <f t="shared" si="3"/>
        <v>74.953017252280858</v>
      </c>
    </row>
    <row r="13" spans="1:17" ht="23.1" customHeight="1" x14ac:dyDescent="0.3">
      <c r="A13" s="11" t="s">
        <v>31</v>
      </c>
      <c r="B13" s="12">
        <v>6549</v>
      </c>
      <c r="C13" s="12">
        <v>10447.666666666666</v>
      </c>
      <c r="D13" s="11">
        <v>6344.91</v>
      </c>
      <c r="E13" s="13">
        <v>828531</v>
      </c>
      <c r="F13" s="12">
        <v>872471.67099999997</v>
      </c>
      <c r="G13" s="12">
        <v>990306.11499999999</v>
      </c>
      <c r="H13" s="14">
        <f t="shared" si="0"/>
        <v>88.101210099061134</v>
      </c>
      <c r="I13" s="15">
        <v>3204.7074300000086</v>
      </c>
      <c r="J13" s="16"/>
      <c r="K13" s="14">
        <f t="shared" si="1"/>
        <v>3204.7074300000086</v>
      </c>
      <c r="L13" s="15">
        <v>65435.375324999994</v>
      </c>
      <c r="M13" s="16">
        <v>3892.6380401299998</v>
      </c>
      <c r="N13" s="16">
        <v>0</v>
      </c>
      <c r="O13" s="14">
        <f t="shared" si="2"/>
        <v>69328.013365129998</v>
      </c>
      <c r="P13" s="16">
        <v>92314.650999999998</v>
      </c>
      <c r="Q13" s="14">
        <f t="shared" si="3"/>
        <v>75.099686359784869</v>
      </c>
    </row>
    <row r="14" spans="1:17" ht="23.1" customHeight="1" x14ac:dyDescent="0.3">
      <c r="A14" s="17" t="s">
        <v>32</v>
      </c>
      <c r="B14" s="18">
        <v>6337</v>
      </c>
      <c r="C14" s="18">
        <v>9938.6</v>
      </c>
      <c r="D14" s="17">
        <v>6096.0339999999997</v>
      </c>
      <c r="E14" s="19">
        <v>875668</v>
      </c>
      <c r="F14" s="18">
        <v>917841.40899999999</v>
      </c>
      <c r="G14" s="18">
        <v>998105.46100000001</v>
      </c>
      <c r="H14" s="20">
        <f t="shared" si="0"/>
        <v>91.958359598635639</v>
      </c>
      <c r="I14" s="21">
        <v>3265.3081299999985</v>
      </c>
      <c r="J14" s="22"/>
      <c r="K14" s="20">
        <f t="shared" si="1"/>
        <v>3265.3081299999985</v>
      </c>
      <c r="L14" s="21">
        <v>68838.105674999984</v>
      </c>
      <c r="M14" s="22">
        <v>4058.2213536099962</v>
      </c>
      <c r="N14" s="22"/>
      <c r="O14" s="20">
        <f t="shared" si="2"/>
        <v>72896.327028609987</v>
      </c>
      <c r="P14" s="22">
        <v>94261.119000000006</v>
      </c>
      <c r="Q14" s="20">
        <f t="shared" si="3"/>
        <v>77.334459639302594</v>
      </c>
    </row>
    <row r="15" spans="1:17" ht="23.1" customHeight="1" x14ac:dyDescent="0.3">
      <c r="A15" s="24" t="s">
        <v>33</v>
      </c>
      <c r="B15" s="25">
        <v>6838</v>
      </c>
      <c r="C15" s="25">
        <v>6496.2790000000005</v>
      </c>
      <c r="D15" s="26">
        <v>10585.4</v>
      </c>
      <c r="E15" s="27">
        <v>963522</v>
      </c>
      <c r="F15" s="25">
        <v>999968.66799999995</v>
      </c>
      <c r="G15" s="25">
        <v>1078550.355</v>
      </c>
      <c r="H15" s="28">
        <f t="shared" si="0"/>
        <v>92.714138321339661</v>
      </c>
      <c r="I15" s="29">
        <v>3580.5627099999915</v>
      </c>
      <c r="J15" s="30"/>
      <c r="K15" s="28">
        <f t="shared" si="1"/>
        <v>3580.5627099999915</v>
      </c>
      <c r="L15" s="29">
        <v>74997.650100000028</v>
      </c>
      <c r="M15" s="30">
        <v>4419.0742652599965</v>
      </c>
      <c r="N15" s="30"/>
      <c r="O15" s="28">
        <f t="shared" si="2"/>
        <v>79416.72436526003</v>
      </c>
      <c r="P15" s="16">
        <v>101607.00750000001</v>
      </c>
      <c r="Q15" s="14">
        <f t="shared" si="3"/>
        <v>78.160676432932078</v>
      </c>
    </row>
    <row r="16" spans="1:17" ht="23.1" customHeight="1" x14ac:dyDescent="0.3">
      <c r="A16" s="31" t="s">
        <v>34</v>
      </c>
      <c r="B16" s="32">
        <f t="shared" ref="B16:G16" si="4">SUM(B4:B15)</f>
        <v>89350</v>
      </c>
      <c r="C16" s="32">
        <f t="shared" si="4"/>
        <v>129974.33400000002</v>
      </c>
      <c r="D16" s="32">
        <f t="shared" si="4"/>
        <v>89449.108666666652</v>
      </c>
      <c r="E16" s="32">
        <f t="shared" si="4"/>
        <v>10671150</v>
      </c>
      <c r="F16" s="32">
        <f t="shared" si="4"/>
        <v>10852148.627999999</v>
      </c>
      <c r="G16" s="32">
        <f t="shared" si="4"/>
        <v>12547737.733999999</v>
      </c>
      <c r="H16" s="33">
        <f t="shared" si="0"/>
        <v>86.48689395694376</v>
      </c>
      <c r="I16" s="33">
        <f>SUM(I4:I15)</f>
        <v>46189.177989999982</v>
      </c>
      <c r="J16" s="33">
        <f>SUM(J4:J15)</f>
        <v>0</v>
      </c>
      <c r="K16" s="33">
        <f t="shared" si="1"/>
        <v>46189.177989999982</v>
      </c>
      <c r="L16" s="33">
        <f>SUM(L4:L15)</f>
        <v>813911.14709999994</v>
      </c>
      <c r="M16" s="33">
        <f>SUM(M4:M15)</f>
        <v>55831.749483219974</v>
      </c>
      <c r="N16" s="33">
        <f>SUM(N4:N15)</f>
        <v>0</v>
      </c>
      <c r="O16" s="33">
        <f t="shared" si="2"/>
        <v>869742.89658321987</v>
      </c>
      <c r="P16" s="34">
        <f>SUM(P4:P15)</f>
        <v>1160165.3290000001</v>
      </c>
      <c r="Q16" s="34">
        <f t="shared" si="3"/>
        <v>74.967151219119017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2022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>
        <v>102</v>
      </c>
      <c r="C25" s="39">
        <v>280.78333333333336</v>
      </c>
      <c r="D25" s="54">
        <v>207.13800000000001</v>
      </c>
      <c r="E25" s="53">
        <v>16917</v>
      </c>
      <c r="F25" s="39">
        <v>34446.913</v>
      </c>
      <c r="G25" s="39">
        <v>39113.658000000003</v>
      </c>
      <c r="H25" s="43">
        <f t="shared" si="5"/>
        <v>88.068758488403205</v>
      </c>
      <c r="I25" s="55">
        <v>47.763410000000022</v>
      </c>
      <c r="J25" s="55"/>
      <c r="K25" s="55">
        <f t="shared" si="6"/>
        <v>47.763410000000022</v>
      </c>
      <c r="L25" s="56">
        <v>2583.5184749999958</v>
      </c>
      <c r="M25" s="55">
        <v>91.215073490000094</v>
      </c>
      <c r="N25" s="55"/>
      <c r="O25" s="43">
        <f t="shared" si="7"/>
        <v>2674.7335484899959</v>
      </c>
      <c r="P25" s="56">
        <v>3791.6840000000002</v>
      </c>
      <c r="Q25" s="43">
        <f t="shared" si="8"/>
        <v>70.542100778704025</v>
      </c>
    </row>
    <row r="26" spans="1:17" ht="23.1" customHeight="1" x14ac:dyDescent="0.3">
      <c r="A26" s="47" t="s">
        <v>25</v>
      </c>
      <c r="B26" s="48">
        <v>752</v>
      </c>
      <c r="C26" s="47">
        <v>2026.1333333333334</v>
      </c>
      <c r="D26" s="49">
        <v>1463.4459999999999</v>
      </c>
      <c r="E26" s="48">
        <v>114983</v>
      </c>
      <c r="F26" s="47">
        <v>232229.326</v>
      </c>
      <c r="G26" s="47">
        <v>275532.54599999997</v>
      </c>
      <c r="H26" s="50">
        <f t="shared" si="5"/>
        <v>84.283809434258274</v>
      </c>
      <c r="I26" s="51">
        <v>526.46932000000004</v>
      </c>
      <c r="J26" s="51"/>
      <c r="K26" s="51">
        <f t="shared" si="6"/>
        <v>526.46932000000004</v>
      </c>
      <c r="L26" s="52">
        <v>17417.199450000004</v>
      </c>
      <c r="M26" s="51">
        <v>1066.8191515699998</v>
      </c>
      <c r="N26" s="51">
        <v>0</v>
      </c>
      <c r="O26" s="50">
        <f t="shared" si="7"/>
        <v>18484.018601570002</v>
      </c>
      <c r="P26" s="52">
        <v>27179.86</v>
      </c>
      <c r="Q26" s="50">
        <f t="shared" si="8"/>
        <v>68.006305409851279</v>
      </c>
    </row>
    <row r="27" spans="1:17" s="23" customFormat="1" ht="30" customHeight="1" x14ac:dyDescent="0.25">
      <c r="A27" s="39" t="s">
        <v>26</v>
      </c>
      <c r="B27" s="53">
        <v>1076</v>
      </c>
      <c r="C27" s="39">
        <v>3047.6333333333332</v>
      </c>
      <c r="D27" s="54">
        <v>2211.7330000000002</v>
      </c>
      <c r="E27" s="53">
        <v>151132</v>
      </c>
      <c r="F27" s="39">
        <v>328617.92099999997</v>
      </c>
      <c r="G27" s="39">
        <v>414712.21500000003</v>
      </c>
      <c r="H27" s="43">
        <f t="shared" si="5"/>
        <v>79.239990796991592</v>
      </c>
      <c r="I27" s="55">
        <v>531.91208000000006</v>
      </c>
      <c r="J27" s="55"/>
      <c r="K27" s="55">
        <f t="shared" si="6"/>
        <v>531.91208000000006</v>
      </c>
      <c r="L27" s="56">
        <v>24646.344074999997</v>
      </c>
      <c r="M27" s="55">
        <v>1187.4496307099996</v>
      </c>
      <c r="N27" s="55"/>
      <c r="O27" s="43">
        <f t="shared" si="7"/>
        <v>25833.793705709995</v>
      </c>
      <c r="P27" s="56">
        <v>40034.188999999998</v>
      </c>
      <c r="Q27" s="43">
        <f t="shared" si="8"/>
        <v>64.529329433175221</v>
      </c>
    </row>
    <row r="28" spans="1:17" ht="23.1" customHeight="1" x14ac:dyDescent="0.3">
      <c r="A28" s="47" t="s">
        <v>27</v>
      </c>
      <c r="B28" s="48">
        <v>1014</v>
      </c>
      <c r="C28" s="47">
        <v>2808.5666666666666</v>
      </c>
      <c r="D28" s="49">
        <v>2046.568</v>
      </c>
      <c r="E28" s="48">
        <v>151902</v>
      </c>
      <c r="F28" s="47">
        <v>323626.74200000003</v>
      </c>
      <c r="G28" s="47">
        <v>383864.81</v>
      </c>
      <c r="H28" s="50">
        <f t="shared" si="5"/>
        <v>84.307478458366631</v>
      </c>
      <c r="I28" s="51">
        <v>590.44623000000013</v>
      </c>
      <c r="J28" s="51"/>
      <c r="K28" s="51">
        <f t="shared" si="6"/>
        <v>590.44623000000013</v>
      </c>
      <c r="L28" s="52">
        <v>24272.005650000006</v>
      </c>
      <c r="M28" s="51">
        <v>1187.9376740900007</v>
      </c>
      <c r="N28" s="51"/>
      <c r="O28" s="50">
        <f t="shared" si="7"/>
        <v>25459.943324090007</v>
      </c>
      <c r="P28" s="52">
        <v>37818.576000000001</v>
      </c>
      <c r="Q28" s="50">
        <f t="shared" si="8"/>
        <v>67.321263825718887</v>
      </c>
    </row>
    <row r="29" spans="1:17" ht="23.1" customHeight="1" x14ac:dyDescent="0.3">
      <c r="A29" s="39" t="s">
        <v>28</v>
      </c>
      <c r="B29" s="53">
        <v>1073</v>
      </c>
      <c r="C29" s="39">
        <v>3132.3</v>
      </c>
      <c r="D29" s="54">
        <v>2286.6729999999998</v>
      </c>
      <c r="E29" s="53">
        <v>158666</v>
      </c>
      <c r="F29" s="39">
        <v>361695.44799999997</v>
      </c>
      <c r="G29" s="39">
        <v>428136.891</v>
      </c>
      <c r="H29" s="43">
        <f t="shared" si="5"/>
        <v>84.481261858838494</v>
      </c>
      <c r="I29" s="55">
        <v>713.49022000000014</v>
      </c>
      <c r="J29" s="55"/>
      <c r="K29" s="55">
        <f t="shared" si="6"/>
        <v>713.49022000000014</v>
      </c>
      <c r="L29" s="56">
        <v>27127.158600000002</v>
      </c>
      <c r="M29" s="55">
        <v>1617.7031625500001</v>
      </c>
      <c r="N29" s="55"/>
      <c r="O29" s="43">
        <f t="shared" si="7"/>
        <v>28744.861762550001</v>
      </c>
      <c r="P29" s="56">
        <v>41999.754000000001</v>
      </c>
      <c r="Q29" s="43">
        <f t="shared" si="8"/>
        <v>68.440547919756867</v>
      </c>
    </row>
    <row r="30" spans="1:17" ht="23.1" customHeight="1" x14ac:dyDescent="0.3">
      <c r="A30" s="47" t="s">
        <v>29</v>
      </c>
      <c r="B30" s="48">
        <v>1067</v>
      </c>
      <c r="C30" s="47">
        <v>3217.0166666666669</v>
      </c>
      <c r="D30" s="49">
        <v>2362.0880000000002</v>
      </c>
      <c r="E30" s="48">
        <v>155879</v>
      </c>
      <c r="F30" s="47">
        <v>372037.04100000003</v>
      </c>
      <c r="G30" s="47">
        <v>442149.19199999998</v>
      </c>
      <c r="H30" s="50">
        <f t="shared" si="5"/>
        <v>84.142874787838593</v>
      </c>
      <c r="I30" s="51">
        <v>640.04128000000003</v>
      </c>
      <c r="J30" s="51"/>
      <c r="K30" s="51">
        <f t="shared" si="6"/>
        <v>640.04128000000003</v>
      </c>
      <c r="L30" s="52">
        <v>27902.778075000002</v>
      </c>
      <c r="M30" s="51">
        <v>1518.55375953</v>
      </c>
      <c r="N30" s="51"/>
      <c r="O30" s="50">
        <f t="shared" si="7"/>
        <v>29421.331834530003</v>
      </c>
      <c r="P30" s="52">
        <v>42818.197</v>
      </c>
      <c r="Q30" s="50">
        <f t="shared" si="8"/>
        <v>68.712215590324845</v>
      </c>
    </row>
    <row r="31" spans="1:17" ht="23.1" customHeight="1" x14ac:dyDescent="0.3">
      <c r="A31" s="39" t="s">
        <v>30</v>
      </c>
      <c r="B31" s="53">
        <v>1068</v>
      </c>
      <c r="C31" s="39">
        <v>3297</v>
      </c>
      <c r="D31" s="54">
        <v>2431.5419999999999</v>
      </c>
      <c r="E31" s="53">
        <v>156798</v>
      </c>
      <c r="F31" s="39">
        <v>385094.73499999999</v>
      </c>
      <c r="G31" s="39">
        <v>455145.07500000001</v>
      </c>
      <c r="H31" s="43">
        <f t="shared" si="5"/>
        <v>84.609228167524392</v>
      </c>
      <c r="I31" s="55">
        <v>712.61720000000003</v>
      </c>
      <c r="J31" s="55"/>
      <c r="K31" s="55">
        <f t="shared" si="6"/>
        <v>712.61720000000003</v>
      </c>
      <c r="L31" s="56">
        <v>28882.105124999995</v>
      </c>
      <c r="M31" s="55">
        <v>1705.9736683799995</v>
      </c>
      <c r="N31" s="55"/>
      <c r="O31" s="43">
        <f t="shared" si="7"/>
        <v>30588.078793379995</v>
      </c>
      <c r="P31" s="56">
        <v>44329.718000000001</v>
      </c>
      <c r="Q31" s="43">
        <f t="shared" si="8"/>
        <v>69.001293428891188</v>
      </c>
    </row>
    <row r="32" spans="1:17" ht="23.1" customHeight="1" x14ac:dyDescent="0.3">
      <c r="A32" s="47" t="s">
        <v>31</v>
      </c>
      <c r="B32" s="48">
        <v>1013</v>
      </c>
      <c r="C32" s="47">
        <v>3283.45</v>
      </c>
      <c r="D32" s="49">
        <v>2434.0030000000002</v>
      </c>
      <c r="E32" s="48">
        <v>157792</v>
      </c>
      <c r="F32" s="47">
        <v>392631.08299999998</v>
      </c>
      <c r="G32" s="47">
        <v>457744.326</v>
      </c>
      <c r="H32" s="50">
        <f t="shared" si="5"/>
        <v>85.77519385789175</v>
      </c>
      <c r="I32" s="51">
        <v>598.09033999999997</v>
      </c>
      <c r="J32" s="51"/>
      <c r="K32" s="51">
        <f t="shared" si="6"/>
        <v>598.09033999999997</v>
      </c>
      <c r="L32" s="52">
        <v>29447.331225000002</v>
      </c>
      <c r="M32" s="51">
        <v>1447.2977877700005</v>
      </c>
      <c r="N32" s="51">
        <v>0</v>
      </c>
      <c r="O32" s="50">
        <f t="shared" si="7"/>
        <v>30894.629012770001</v>
      </c>
      <c r="P32" s="52">
        <v>44345.142999999996</v>
      </c>
      <c r="Q32" s="50">
        <f t="shared" si="8"/>
        <v>69.668574555662161</v>
      </c>
    </row>
    <row r="33" spans="1:17" ht="23.1" customHeight="1" x14ac:dyDescent="0.3">
      <c r="A33" s="39" t="s">
        <v>32</v>
      </c>
      <c r="B33" s="53">
        <v>1025</v>
      </c>
      <c r="C33" s="39">
        <v>3486.2333333333331</v>
      </c>
      <c r="D33" s="54">
        <v>2572.3040000000001</v>
      </c>
      <c r="E33" s="53">
        <v>163858</v>
      </c>
      <c r="F33" s="39">
        <v>409464.83100000001</v>
      </c>
      <c r="G33" s="39">
        <v>485898.61200000002</v>
      </c>
      <c r="H33" s="43">
        <f t="shared" si="5"/>
        <v>84.269602935190107</v>
      </c>
      <c r="I33" s="55">
        <v>607.9655600000001</v>
      </c>
      <c r="J33" s="55"/>
      <c r="K33" s="55">
        <f t="shared" si="6"/>
        <v>607.9655600000001</v>
      </c>
      <c r="L33" s="56">
        <v>30709.862325000002</v>
      </c>
      <c r="M33" s="55">
        <v>1470.2498596399998</v>
      </c>
      <c r="N33" s="55"/>
      <c r="O33" s="43">
        <f t="shared" si="7"/>
        <v>32180.112184640002</v>
      </c>
      <c r="P33" s="56">
        <v>48229.752</v>
      </c>
      <c r="Q33" s="43">
        <f t="shared" si="8"/>
        <v>66.722532980555243</v>
      </c>
    </row>
    <row r="34" spans="1:17" ht="23.1" customHeight="1" x14ac:dyDescent="0.3">
      <c r="A34" s="47" t="s">
        <v>33</v>
      </c>
      <c r="B34" s="57">
        <v>1117</v>
      </c>
      <c r="C34" s="58">
        <v>3822.9166666666665</v>
      </c>
      <c r="D34" s="59">
        <v>2787.8020000000001</v>
      </c>
      <c r="E34" s="57">
        <v>185868</v>
      </c>
      <c r="F34" s="58">
        <v>465177.962</v>
      </c>
      <c r="G34" s="58">
        <v>526454.61</v>
      </c>
      <c r="H34" s="50">
        <f t="shared" si="5"/>
        <v>88.36050690106029</v>
      </c>
      <c r="I34" s="60">
        <v>651.09403000000009</v>
      </c>
      <c r="J34" s="60"/>
      <c r="K34" s="60">
        <f t="shared" si="6"/>
        <v>651.09403000000009</v>
      </c>
      <c r="L34" s="61">
        <v>34888.347150000001</v>
      </c>
      <c r="M34" s="60">
        <v>1582.5303861800001</v>
      </c>
      <c r="N34" s="60"/>
      <c r="O34" s="62">
        <f t="shared" si="7"/>
        <v>36470.87753618</v>
      </c>
      <c r="P34" s="61">
        <v>52054.404000000002</v>
      </c>
      <c r="Q34" s="62">
        <f t="shared" si="8"/>
        <v>70.063000886879806</v>
      </c>
    </row>
    <row r="35" spans="1:17" ht="23.1" customHeight="1" x14ac:dyDescent="0.3">
      <c r="A35" s="63" t="s">
        <v>34</v>
      </c>
      <c r="B35" s="64">
        <f t="shared" ref="B35:G35" si="9">SUM(B23:B34)</f>
        <v>9307</v>
      </c>
      <c r="C35" s="64">
        <f t="shared" si="9"/>
        <v>28402.033333333336</v>
      </c>
      <c r="D35" s="64">
        <f t="shared" si="9"/>
        <v>20803.297000000002</v>
      </c>
      <c r="E35" s="64">
        <f t="shared" si="9"/>
        <v>1413795</v>
      </c>
      <c r="F35" s="64">
        <f t="shared" si="9"/>
        <v>3305022.0019999999</v>
      </c>
      <c r="G35" s="64">
        <f t="shared" si="9"/>
        <v>3908751.9350000001</v>
      </c>
      <c r="H35" s="65">
        <f t="shared" si="5"/>
        <v>84.554406546139631</v>
      </c>
      <c r="I35" s="66">
        <f>SUM(I23:I34)</f>
        <v>5619.8896700000005</v>
      </c>
      <c r="J35" s="66">
        <f>SUM(J23:J34)</f>
        <v>0</v>
      </c>
      <c r="K35" s="66">
        <f t="shared" si="6"/>
        <v>5619.8896700000005</v>
      </c>
      <c r="L35" s="66">
        <f>SUM(L23:L34)</f>
        <v>247876.65015</v>
      </c>
      <c r="M35" s="66">
        <f>SUM(M23:M34)</f>
        <v>12875.730153910003</v>
      </c>
      <c r="N35" s="66">
        <f>SUM(N23:N34)</f>
        <v>0</v>
      </c>
      <c r="O35" s="66">
        <f t="shared" si="7"/>
        <v>260752.38030391</v>
      </c>
      <c r="P35" s="66">
        <f>SUM(P23:P34)</f>
        <v>382601.27699999994</v>
      </c>
      <c r="Q35" s="66">
        <f t="shared" si="8"/>
        <v>68.152511760672979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2022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420</v>
      </c>
      <c r="C42" s="71">
        <v>732.75</v>
      </c>
      <c r="D42" s="72">
        <v>453.03199999999998</v>
      </c>
      <c r="E42" s="70">
        <v>4196</v>
      </c>
      <c r="F42" s="71">
        <v>3245.3510000000001</v>
      </c>
      <c r="G42" s="71">
        <v>4379.2740000000003</v>
      </c>
      <c r="H42" s="73">
        <f t="shared" ref="H42:H54" si="10">IFERROR(F42/G42*100," ")</f>
        <v>74.107055187686356</v>
      </c>
      <c r="I42" s="74">
        <v>2792.8730800000008</v>
      </c>
      <c r="J42" s="75"/>
      <c r="K42" s="73">
        <f>IF(AND(ISBLANK(I42),ISBLANK(J42))=TRUE,"",I42+J42)</f>
        <v>2792.8730800000008</v>
      </c>
      <c r="L42" s="74">
        <v>243.40132500000001</v>
      </c>
      <c r="M42" s="75">
        <v>3343.6125764900007</v>
      </c>
      <c r="N42" s="75"/>
      <c r="O42" s="73">
        <f>IF(AND(ISBLANK(L42),ISBLANK(M42),ISBLANK(N42))=TRUE,"",L42+M42+N42)</f>
        <v>3587.0139014900005</v>
      </c>
      <c r="P42" s="74">
        <v>6683.5696999999991</v>
      </c>
      <c r="Q42" s="73">
        <f>IFERROR(O42/P42*100," ")</f>
        <v>53.669132851116984</v>
      </c>
    </row>
    <row r="43" spans="1:17" ht="25.5" customHeight="1" x14ac:dyDescent="0.3">
      <c r="A43" s="76" t="s">
        <v>23</v>
      </c>
      <c r="B43" s="77">
        <v>452</v>
      </c>
      <c r="C43" s="78">
        <v>784.56666666666672</v>
      </c>
      <c r="D43" s="79">
        <v>475.90500000000003</v>
      </c>
      <c r="E43" s="77">
        <v>5260</v>
      </c>
      <c r="F43" s="78">
        <v>4589.3180000000002</v>
      </c>
      <c r="G43" s="78">
        <v>5992.6660000000002</v>
      </c>
      <c r="H43" s="80">
        <f t="shared" si="10"/>
        <v>76.582242360912488</v>
      </c>
      <c r="I43" s="81">
        <v>3125.3920499999986</v>
      </c>
      <c r="J43" s="82"/>
      <c r="K43" s="80">
        <f t="shared" ref="K43:K54" si="11">IF(AND(ISBLANK(I43),ISBLANK(J43))=TRUE,"",I43+J43)</f>
        <v>3125.3920499999986</v>
      </c>
      <c r="L43" s="81">
        <v>344.19885000000005</v>
      </c>
      <c r="M43" s="82">
        <v>3721.2641624500025</v>
      </c>
      <c r="N43" s="82"/>
      <c r="O43" s="80">
        <f t="shared" ref="O43:O54" si="12">IF(AND(ISBLANK(L43),ISBLANK(M43),ISBLANK(N43))=TRUE,"",L43+M43+N43)</f>
        <v>4065.4630124500027</v>
      </c>
      <c r="P43" s="81">
        <v>7239.9254999999994</v>
      </c>
      <c r="Q43" s="80">
        <f t="shared" ref="Q43:Q54" si="13">IFERROR(O43/P43*100," ")</f>
        <v>56.15338186076643</v>
      </c>
    </row>
    <row r="44" spans="1:17" ht="25.5" customHeight="1" x14ac:dyDescent="0.3">
      <c r="A44" s="69" t="s">
        <v>24</v>
      </c>
      <c r="B44" s="83">
        <v>500</v>
      </c>
      <c r="C44" s="84">
        <v>850.88333333333333</v>
      </c>
      <c r="D44" s="85">
        <v>516.54499999999996</v>
      </c>
      <c r="E44" s="83">
        <v>3250</v>
      </c>
      <c r="F44" s="84">
        <v>2766.3719999999998</v>
      </c>
      <c r="G44" s="84">
        <v>4220.424</v>
      </c>
      <c r="H44" s="86">
        <f t="shared" si="10"/>
        <v>65.547253072203176</v>
      </c>
      <c r="I44" s="87">
        <v>3744.2955000000002</v>
      </c>
      <c r="J44" s="88"/>
      <c r="K44" s="86">
        <f t="shared" si="11"/>
        <v>3744.2955000000002</v>
      </c>
      <c r="L44" s="87">
        <v>207.47789999999998</v>
      </c>
      <c r="M44" s="88">
        <v>4386.8993879199998</v>
      </c>
      <c r="N44" s="88"/>
      <c r="O44" s="86">
        <f t="shared" si="12"/>
        <v>4594.3772879199996</v>
      </c>
      <c r="P44" s="87">
        <v>8495.82</v>
      </c>
      <c r="Q44" s="86">
        <f t="shared" si="13"/>
        <v>54.078091201555587</v>
      </c>
    </row>
    <row r="45" spans="1:17" ht="25.5" customHeight="1" x14ac:dyDescent="0.3">
      <c r="A45" s="76" t="s">
        <v>25</v>
      </c>
      <c r="B45" s="77">
        <v>373</v>
      </c>
      <c r="C45" s="89">
        <v>594.35</v>
      </c>
      <c r="D45" s="79">
        <v>388.31200000000001</v>
      </c>
      <c r="E45" s="77">
        <v>2312</v>
      </c>
      <c r="F45" s="78">
        <v>1952.5070000000001</v>
      </c>
      <c r="G45" s="78">
        <v>3708.2759999999998</v>
      </c>
      <c r="H45" s="80">
        <f t="shared" si="10"/>
        <v>52.65268820335919</v>
      </c>
      <c r="I45" s="81">
        <v>2992.4591799999989</v>
      </c>
      <c r="J45" s="82"/>
      <c r="K45" s="80">
        <f t="shared" si="11"/>
        <v>2992.4591799999989</v>
      </c>
      <c r="L45" s="81">
        <v>146.43802499999998</v>
      </c>
      <c r="M45" s="82">
        <v>3606.8825850200001</v>
      </c>
      <c r="N45" s="82"/>
      <c r="O45" s="80">
        <f t="shared" si="12"/>
        <v>3753.32061002</v>
      </c>
      <c r="P45" s="81">
        <v>7607.4642000000013</v>
      </c>
      <c r="Q45" s="80">
        <f t="shared" si="13"/>
        <v>49.337341738920038</v>
      </c>
    </row>
    <row r="46" spans="1:17" ht="25.5" customHeight="1" x14ac:dyDescent="0.3">
      <c r="A46" s="69" t="s">
        <v>26</v>
      </c>
      <c r="B46" s="83">
        <v>378</v>
      </c>
      <c r="C46" s="90">
        <v>624</v>
      </c>
      <c r="D46" s="85">
        <v>401.27499999999998</v>
      </c>
      <c r="E46" s="83">
        <v>951</v>
      </c>
      <c r="F46" s="84">
        <v>1052.5450000000001</v>
      </c>
      <c r="G46" s="84">
        <v>1481.2739999999999</v>
      </c>
      <c r="H46" s="86">
        <f t="shared" si="10"/>
        <v>71.056738996296446</v>
      </c>
      <c r="I46" s="87">
        <v>3314.8230299999977</v>
      </c>
      <c r="J46" s="88"/>
      <c r="K46" s="86">
        <f t="shared" si="11"/>
        <v>3314.8230299999977</v>
      </c>
      <c r="L46" s="87">
        <v>78.940875000000005</v>
      </c>
      <c r="M46" s="88">
        <v>3968.1457335799987</v>
      </c>
      <c r="N46" s="88"/>
      <c r="O46" s="86">
        <f t="shared" si="12"/>
        <v>4047.0866085799989</v>
      </c>
      <c r="P46" s="87">
        <v>7856.9524000000001</v>
      </c>
      <c r="Q46" s="86">
        <f t="shared" si="13"/>
        <v>51.509623611567235</v>
      </c>
    </row>
    <row r="47" spans="1:17" ht="25.5" customHeight="1" x14ac:dyDescent="0.3">
      <c r="A47" s="76" t="s">
        <v>27</v>
      </c>
      <c r="B47" s="91">
        <v>359</v>
      </c>
      <c r="C47" s="92">
        <v>598.81666666666661</v>
      </c>
      <c r="D47" s="79">
        <v>385.06800000000004</v>
      </c>
      <c r="E47" s="91">
        <v>1031</v>
      </c>
      <c r="F47" s="92">
        <v>1205.7449999999999</v>
      </c>
      <c r="G47" s="92">
        <v>1756.854</v>
      </c>
      <c r="H47" s="80">
        <f t="shared" si="10"/>
        <v>68.630916399427605</v>
      </c>
      <c r="I47" s="93">
        <v>3236.23432</v>
      </c>
      <c r="J47" s="94"/>
      <c r="K47" s="80">
        <f t="shared" si="11"/>
        <v>3236.23432</v>
      </c>
      <c r="L47" s="93">
        <v>90.430875</v>
      </c>
      <c r="M47" s="94">
        <v>3833.1839689000003</v>
      </c>
      <c r="N47" s="94"/>
      <c r="O47" s="80">
        <f t="shared" si="12"/>
        <v>3923.6148439000003</v>
      </c>
      <c r="P47" s="93">
        <v>7295.2229000000016</v>
      </c>
      <c r="Q47" s="80">
        <f t="shared" si="13"/>
        <v>53.783344219681062</v>
      </c>
    </row>
    <row r="48" spans="1:17" s="102" customFormat="1" ht="25.5" customHeight="1" x14ac:dyDescent="0.3">
      <c r="A48" s="95" t="s">
        <v>28</v>
      </c>
      <c r="B48" s="96">
        <v>319</v>
      </c>
      <c r="C48" s="97">
        <v>591.66666666666663</v>
      </c>
      <c r="D48" s="98">
        <v>381.072</v>
      </c>
      <c r="E48" s="96">
        <v>525</v>
      </c>
      <c r="F48" s="97">
        <v>374.988</v>
      </c>
      <c r="G48" s="97">
        <v>627.98699999999997</v>
      </c>
      <c r="H48" s="99">
        <f t="shared" si="10"/>
        <v>59.712701059098364</v>
      </c>
      <c r="I48" s="100">
        <v>2519.6867500000012</v>
      </c>
      <c r="J48" s="101"/>
      <c r="K48" s="99">
        <f t="shared" si="11"/>
        <v>2519.6867500000012</v>
      </c>
      <c r="L48" s="100">
        <v>28.124099999999999</v>
      </c>
      <c r="M48" s="101">
        <v>3238.9805137299977</v>
      </c>
      <c r="N48" s="101"/>
      <c r="O48" s="99">
        <f t="shared" si="12"/>
        <v>3267.1046137299977</v>
      </c>
      <c r="P48" s="100">
        <v>7005.0352499999999</v>
      </c>
      <c r="Q48" s="99">
        <f t="shared" si="13"/>
        <v>46.6393743518992</v>
      </c>
    </row>
    <row r="49" spans="1:17" ht="25.5" customHeight="1" x14ac:dyDescent="0.3">
      <c r="A49" s="76" t="s">
        <v>29</v>
      </c>
      <c r="B49" s="91">
        <v>292</v>
      </c>
      <c r="C49" s="92">
        <v>524.90000000000009</v>
      </c>
      <c r="D49" s="103">
        <v>344.59100000000001</v>
      </c>
      <c r="E49" s="91">
        <v>46</v>
      </c>
      <c r="F49" s="92">
        <v>29.256</v>
      </c>
      <c r="G49" s="92">
        <v>99.215999999999994</v>
      </c>
      <c r="H49" s="80">
        <f t="shared" si="10"/>
        <v>29.487179487179489</v>
      </c>
      <c r="I49" s="93">
        <v>2278.8956900000003</v>
      </c>
      <c r="J49" s="94"/>
      <c r="K49" s="80">
        <f t="shared" si="11"/>
        <v>2278.8956900000003</v>
      </c>
      <c r="L49" s="93">
        <v>2.1941999999999999</v>
      </c>
      <c r="M49" s="94">
        <v>2965.655446599997</v>
      </c>
      <c r="N49" s="94"/>
      <c r="O49" s="80">
        <f t="shared" si="12"/>
        <v>2967.849646599997</v>
      </c>
      <c r="P49" s="93">
        <v>6644.32</v>
      </c>
      <c r="Q49" s="80">
        <f t="shared" si="13"/>
        <v>44.667470058636503</v>
      </c>
    </row>
    <row r="50" spans="1:17" ht="25.5" customHeight="1" x14ac:dyDescent="0.3">
      <c r="A50" s="69" t="s">
        <v>30</v>
      </c>
      <c r="B50" s="104">
        <v>281</v>
      </c>
      <c r="C50" s="105">
        <v>313.58599999999996</v>
      </c>
      <c r="D50" s="106">
        <v>484.05</v>
      </c>
      <c r="E50" s="104">
        <v>1654</v>
      </c>
      <c r="F50" s="105">
        <v>1650.529</v>
      </c>
      <c r="G50" s="105">
        <v>2189.4870000000001</v>
      </c>
      <c r="H50" s="86">
        <f t="shared" si="10"/>
        <v>75.38427951387699</v>
      </c>
      <c r="I50" s="107">
        <v>1971.3286299999997</v>
      </c>
      <c r="J50" s="108"/>
      <c r="K50" s="86">
        <f t="shared" si="11"/>
        <v>1971.3286299999997</v>
      </c>
      <c r="L50" s="107">
        <v>123.78967499999999</v>
      </c>
      <c r="M50" s="108">
        <v>2441.5067748899983</v>
      </c>
      <c r="N50" s="108"/>
      <c r="O50" s="86">
        <f t="shared" si="12"/>
        <v>2565.2964498899983</v>
      </c>
      <c r="P50" s="107">
        <v>5459.9997999999996</v>
      </c>
      <c r="Q50" s="86">
        <f t="shared" si="13"/>
        <v>46.983453184192399</v>
      </c>
    </row>
    <row r="51" spans="1:17" ht="25.5" customHeight="1" x14ac:dyDescent="0.3">
      <c r="A51" s="76" t="s">
        <v>31</v>
      </c>
      <c r="B51" s="91">
        <v>203</v>
      </c>
      <c r="C51" s="92">
        <v>331.4</v>
      </c>
      <c r="D51" s="103">
        <v>217.15899999999999</v>
      </c>
      <c r="E51" s="91">
        <v>1610</v>
      </c>
      <c r="F51" s="92">
        <v>1437.4760000000001</v>
      </c>
      <c r="G51" s="92">
        <v>2452.6320000000001</v>
      </c>
      <c r="H51" s="80">
        <f t="shared" si="10"/>
        <v>58.60952641896543</v>
      </c>
      <c r="I51" s="93">
        <v>1473.0651400000008</v>
      </c>
      <c r="J51" s="94"/>
      <c r="K51" s="80">
        <f t="shared" si="11"/>
        <v>1473.0651400000008</v>
      </c>
      <c r="L51" s="93">
        <v>107.81070000000001</v>
      </c>
      <c r="M51" s="94">
        <v>1861.6664205099994</v>
      </c>
      <c r="N51" s="94"/>
      <c r="O51" s="80">
        <f t="shared" si="12"/>
        <v>1969.4771205099994</v>
      </c>
      <c r="P51" s="93">
        <v>3869.5135</v>
      </c>
      <c r="Q51" s="80">
        <f t="shared" si="13"/>
        <v>50.897279994242147</v>
      </c>
    </row>
    <row r="52" spans="1:17" ht="25.5" customHeight="1" x14ac:dyDescent="0.3">
      <c r="A52" s="69" t="s">
        <v>32</v>
      </c>
      <c r="B52" s="104">
        <v>213</v>
      </c>
      <c r="C52" s="105">
        <v>367.2</v>
      </c>
      <c r="D52" s="106">
        <v>240.57300000000001</v>
      </c>
      <c r="E52" s="104">
        <v>5226</v>
      </c>
      <c r="F52" s="105">
        <v>4805.4219999999996</v>
      </c>
      <c r="G52" s="105">
        <v>5837.1949999999997</v>
      </c>
      <c r="H52" s="86">
        <f t="shared" si="10"/>
        <v>82.324164260402469</v>
      </c>
      <c r="I52" s="107">
        <v>1340.9202</v>
      </c>
      <c r="J52" s="108"/>
      <c r="K52" s="86">
        <f t="shared" si="11"/>
        <v>1340.9202</v>
      </c>
      <c r="L52" s="107">
        <v>360.40665000000001</v>
      </c>
      <c r="M52" s="108">
        <v>1658.9617311899999</v>
      </c>
      <c r="N52" s="108"/>
      <c r="O52" s="86">
        <f t="shared" si="12"/>
        <v>2019.36838119</v>
      </c>
      <c r="P52" s="107">
        <v>4301.1945000000005</v>
      </c>
      <c r="Q52" s="86">
        <f t="shared" si="13"/>
        <v>46.949013377330409</v>
      </c>
    </row>
    <row r="53" spans="1:17" ht="25.5" customHeight="1" x14ac:dyDescent="0.3">
      <c r="A53" s="76" t="s">
        <v>33</v>
      </c>
      <c r="B53" s="109">
        <v>202</v>
      </c>
      <c r="C53" s="110">
        <v>343.73333333333329</v>
      </c>
      <c r="D53" s="111">
        <v>220.179</v>
      </c>
      <c r="E53" s="109">
        <v>6004</v>
      </c>
      <c r="F53" s="110">
        <v>4988.1450000000004</v>
      </c>
      <c r="G53" s="110">
        <v>5704.2460000000001</v>
      </c>
      <c r="H53" s="112">
        <f t="shared" si="10"/>
        <v>87.446176059026911</v>
      </c>
      <c r="I53" s="113">
        <v>1263.9739999999999</v>
      </c>
      <c r="J53" s="114"/>
      <c r="K53" s="112">
        <f t="shared" si="11"/>
        <v>1263.9739999999999</v>
      </c>
      <c r="L53" s="113">
        <v>374.11087500000008</v>
      </c>
      <c r="M53" s="114">
        <v>1575.1831249500008</v>
      </c>
      <c r="N53" s="114"/>
      <c r="O53" s="112">
        <f t="shared" si="12"/>
        <v>1949.2939999500009</v>
      </c>
      <c r="P53" s="113">
        <v>3898.3396000000002</v>
      </c>
      <c r="Q53" s="112">
        <f t="shared" si="13"/>
        <v>50.003185970509101</v>
      </c>
    </row>
    <row r="54" spans="1:17" ht="25.5" customHeight="1" x14ac:dyDescent="0.3">
      <c r="A54" s="115" t="s">
        <v>34</v>
      </c>
      <c r="B54" s="116">
        <f t="shared" ref="B54:G54" si="14">SUM(B42:B53)</f>
        <v>3992</v>
      </c>
      <c r="C54" s="116">
        <f t="shared" si="14"/>
        <v>6657.8526666666676</v>
      </c>
      <c r="D54" s="116">
        <f t="shared" si="14"/>
        <v>4507.7610000000004</v>
      </c>
      <c r="E54" s="116">
        <f t="shared" si="14"/>
        <v>32065</v>
      </c>
      <c r="F54" s="116">
        <f t="shared" si="14"/>
        <v>28097.653999999995</v>
      </c>
      <c r="G54" s="116">
        <f t="shared" si="14"/>
        <v>38449.531000000003</v>
      </c>
      <c r="H54" s="117">
        <f t="shared" si="10"/>
        <v>73.07671451181028</v>
      </c>
      <c r="I54" s="117">
        <f>SUM(I42:I53)</f>
        <v>30053.94757</v>
      </c>
      <c r="J54" s="117">
        <f>SUM(J42:J53)</f>
        <v>0</v>
      </c>
      <c r="K54" s="117">
        <f t="shared" si="11"/>
        <v>30053.94757</v>
      </c>
      <c r="L54" s="117">
        <f>SUM(L42:L53)</f>
        <v>2107.3240500000002</v>
      </c>
      <c r="M54" s="117">
        <f>SUM(M42:M53)</f>
        <v>36601.942426230002</v>
      </c>
      <c r="N54" s="117">
        <f>SUM(N42:N53)</f>
        <v>0</v>
      </c>
      <c r="O54" s="117">
        <f t="shared" si="12"/>
        <v>38709.266476230005</v>
      </c>
      <c r="P54" s="118">
        <f>SUM(P42:P53)</f>
        <v>76357.357350000006</v>
      </c>
      <c r="Q54" s="117">
        <f t="shared" si="13"/>
        <v>50.694874494933003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2022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1154</v>
      </c>
      <c r="C61" s="123">
        <v>4197.5</v>
      </c>
      <c r="D61" s="124">
        <v>3063.2780000000002</v>
      </c>
      <c r="E61" s="122">
        <v>105444</v>
      </c>
      <c r="F61" s="123">
        <v>267594.10100000002</v>
      </c>
      <c r="G61" s="123">
        <v>383558.21899999998</v>
      </c>
      <c r="H61" s="125">
        <f t="shared" ref="H61:H73" si="15">IFERROR(F61/G61*100," ")</f>
        <v>69.766227848711551</v>
      </c>
      <c r="I61" s="126">
        <v>3571.613049999999</v>
      </c>
      <c r="J61" s="127"/>
      <c r="K61" s="127">
        <f>IF(AND(ISBLANK(I61),ISBLANK(J61))=TRUE,"",I61+J61)</f>
        <v>3571.613049999999</v>
      </c>
      <c r="L61" s="126">
        <v>20069.557574999995</v>
      </c>
      <c r="M61" s="127">
        <v>11162.042578979996</v>
      </c>
      <c r="N61" s="127"/>
      <c r="O61" s="128">
        <f>IF(AND(ISBLANK(L61),ISBLANK(M61),ISBLANK(N61))=TRUE,"",L61+M61+N61)</f>
        <v>31231.600153979991</v>
      </c>
      <c r="P61" s="127">
        <v>73827.425699999993</v>
      </c>
      <c r="Q61" s="125">
        <f>IFERROR(O61/P61*100," ")</f>
        <v>42.3035204842311</v>
      </c>
    </row>
    <row r="62" spans="1:17" ht="24.75" customHeight="1" x14ac:dyDescent="0.3">
      <c r="A62" s="76" t="s">
        <v>23</v>
      </c>
      <c r="B62" s="91">
        <v>915</v>
      </c>
      <c r="C62" s="92">
        <v>3250.25</v>
      </c>
      <c r="D62" s="103">
        <v>2393.9490000000001</v>
      </c>
      <c r="E62" s="91">
        <v>88239</v>
      </c>
      <c r="F62" s="92">
        <v>197859.356</v>
      </c>
      <c r="G62" s="92">
        <v>273584.68800000002</v>
      </c>
      <c r="H62" s="129">
        <f t="shared" si="15"/>
        <v>72.321063523847499</v>
      </c>
      <c r="I62" s="93">
        <v>3309.6887899999992</v>
      </c>
      <c r="J62" s="94"/>
      <c r="K62" s="94">
        <f t="shared" ref="K62:K73" si="16">IF(AND(ISBLANK(I62),ISBLANK(J62))=TRUE,"",I62+J62)</f>
        <v>3309.6887899999992</v>
      </c>
      <c r="L62" s="93">
        <v>14839.451700000001</v>
      </c>
      <c r="M62" s="94">
        <v>12948.530687029994</v>
      </c>
      <c r="N62" s="94"/>
      <c r="O62" s="80">
        <f t="shared" ref="O62:O73" si="17">IF(AND(ISBLANK(L62),ISBLANK(M62),ISBLANK(N62))=TRUE,"",L62+M62+N62)</f>
        <v>27787.982387029995</v>
      </c>
      <c r="P62" s="94">
        <v>59835.270999999993</v>
      </c>
      <c r="Q62" s="129">
        <f t="shared" ref="Q62:Q73" si="18">IFERROR(O62/P62*100," ")</f>
        <v>46.44080643844665</v>
      </c>
    </row>
    <row r="63" spans="1:17" ht="24.75" customHeight="1" x14ac:dyDescent="0.3">
      <c r="A63" s="121" t="s">
        <v>24</v>
      </c>
      <c r="B63" s="130">
        <v>1023</v>
      </c>
      <c r="C63" s="131">
        <v>3384.583333333333</v>
      </c>
      <c r="D63" s="132">
        <v>2456.5569999999998</v>
      </c>
      <c r="E63" s="130">
        <v>100289</v>
      </c>
      <c r="F63" s="131">
        <v>215257.65100000001</v>
      </c>
      <c r="G63" s="131">
        <v>274273.51500000001</v>
      </c>
      <c r="H63" s="133">
        <f t="shared" si="15"/>
        <v>78.482842574136257</v>
      </c>
      <c r="I63" s="134">
        <v>3414.3312199999982</v>
      </c>
      <c r="J63" s="135"/>
      <c r="K63" s="135">
        <f t="shared" si="16"/>
        <v>3414.3312199999982</v>
      </c>
      <c r="L63" s="134">
        <v>16144.323825000001</v>
      </c>
      <c r="M63" s="135">
        <v>9730.0691163899974</v>
      </c>
      <c r="N63" s="135"/>
      <c r="O63" s="136">
        <f t="shared" si="17"/>
        <v>25874.392941389997</v>
      </c>
      <c r="P63" s="135">
        <v>54678.104500000001</v>
      </c>
      <c r="Q63" s="133">
        <f t="shared" si="18"/>
        <v>47.321305626807153</v>
      </c>
    </row>
    <row r="64" spans="1:17" ht="24.75" customHeight="1" x14ac:dyDescent="0.3">
      <c r="A64" s="76" t="s">
        <v>25</v>
      </c>
      <c r="B64" s="91">
        <v>364</v>
      </c>
      <c r="C64" s="92">
        <v>1323.0833333333333</v>
      </c>
      <c r="D64" s="103">
        <v>948.54</v>
      </c>
      <c r="E64" s="91">
        <v>4420</v>
      </c>
      <c r="F64" s="92">
        <v>13875.332</v>
      </c>
      <c r="G64" s="92">
        <v>33031.718999999997</v>
      </c>
      <c r="H64" s="129">
        <f t="shared" si="15"/>
        <v>42.006085120789507</v>
      </c>
      <c r="I64" s="93">
        <v>3083.7937599999996</v>
      </c>
      <c r="J64" s="94"/>
      <c r="K64" s="94">
        <f t="shared" si="16"/>
        <v>3083.7937599999996</v>
      </c>
      <c r="L64" s="93">
        <v>1040.6498999999999</v>
      </c>
      <c r="M64" s="94">
        <v>7830.4254996500013</v>
      </c>
      <c r="N64" s="94"/>
      <c r="O64" s="80">
        <f t="shared" si="17"/>
        <v>8871.0753996500007</v>
      </c>
      <c r="P64" s="94">
        <v>20856.978000000003</v>
      </c>
      <c r="Q64" s="129">
        <f t="shared" si="18"/>
        <v>42.532889470612659</v>
      </c>
    </row>
    <row r="65" spans="1:17" ht="24.75" customHeight="1" x14ac:dyDescent="0.3">
      <c r="A65" s="121" t="s">
        <v>26</v>
      </c>
      <c r="B65" s="130">
        <v>282</v>
      </c>
      <c r="C65" s="131">
        <v>946.33333333333326</v>
      </c>
      <c r="D65" s="132">
        <v>675.34999999999991</v>
      </c>
      <c r="E65" s="130">
        <v>151</v>
      </c>
      <c r="F65" s="131">
        <v>474.291</v>
      </c>
      <c r="G65" s="131">
        <v>2129.2739999999999</v>
      </c>
      <c r="H65" s="133">
        <f t="shared" si="15"/>
        <v>22.27477534596299</v>
      </c>
      <c r="I65" s="134">
        <v>2869.5599399999992</v>
      </c>
      <c r="J65" s="135"/>
      <c r="K65" s="135">
        <f t="shared" si="16"/>
        <v>2869.5599399999992</v>
      </c>
      <c r="L65" s="134">
        <v>35.571824999999997</v>
      </c>
      <c r="M65" s="135">
        <v>6676.2824590199998</v>
      </c>
      <c r="N65" s="135"/>
      <c r="O65" s="136">
        <f t="shared" si="17"/>
        <v>6711.8542840199998</v>
      </c>
      <c r="P65" s="135">
        <v>13938.4074</v>
      </c>
      <c r="Q65" s="133">
        <f t="shared" si="18"/>
        <v>48.153666996560887</v>
      </c>
    </row>
    <row r="66" spans="1:17" ht="24.75" customHeight="1" x14ac:dyDescent="0.3">
      <c r="A66" s="76" t="s">
        <v>27</v>
      </c>
      <c r="B66" s="91">
        <v>311</v>
      </c>
      <c r="C66" s="92">
        <v>1143.9000000000001</v>
      </c>
      <c r="D66" s="103">
        <v>781.03600000000006</v>
      </c>
      <c r="E66" s="91">
        <v>7976</v>
      </c>
      <c r="F66" s="92">
        <v>27391.776000000002</v>
      </c>
      <c r="G66" s="92">
        <v>44061.192000000003</v>
      </c>
      <c r="H66" s="129">
        <f t="shared" si="15"/>
        <v>62.167578217130391</v>
      </c>
      <c r="I66" s="93">
        <v>2524.3186600000008</v>
      </c>
      <c r="J66" s="94"/>
      <c r="K66" s="94">
        <f t="shared" si="16"/>
        <v>2524.3186600000008</v>
      </c>
      <c r="L66" s="93">
        <v>2054.3831999999998</v>
      </c>
      <c r="M66" s="94">
        <v>5691.5319527600022</v>
      </c>
      <c r="N66" s="94"/>
      <c r="O66" s="80">
        <f t="shared" si="17"/>
        <v>7745.9151527600025</v>
      </c>
      <c r="P66" s="94">
        <v>15318.9537</v>
      </c>
      <c r="Q66" s="129">
        <f t="shared" si="18"/>
        <v>50.56425722312877</v>
      </c>
    </row>
    <row r="67" spans="1:17" ht="24.75" customHeight="1" x14ac:dyDescent="0.3">
      <c r="A67" s="121" t="s">
        <v>28</v>
      </c>
      <c r="B67" s="130">
        <v>335</v>
      </c>
      <c r="C67" s="131">
        <v>1243.8500000000001</v>
      </c>
      <c r="D67" s="132">
        <v>851.13800000000003</v>
      </c>
      <c r="E67" s="130">
        <v>8702</v>
      </c>
      <c r="F67" s="131">
        <v>30169.272000000001</v>
      </c>
      <c r="G67" s="131">
        <v>50065.722000000002</v>
      </c>
      <c r="H67" s="133">
        <f t="shared" si="15"/>
        <v>60.259336717445123</v>
      </c>
      <c r="I67" s="134">
        <v>2739.5959999999995</v>
      </c>
      <c r="J67" s="135"/>
      <c r="K67" s="135">
        <f t="shared" si="16"/>
        <v>2739.5959999999995</v>
      </c>
      <c r="L67" s="134">
        <v>2262.6954000000001</v>
      </c>
      <c r="M67" s="135">
        <v>6145.4705513500012</v>
      </c>
      <c r="N67" s="135"/>
      <c r="O67" s="136">
        <f t="shared" si="17"/>
        <v>8408.1659513500017</v>
      </c>
      <c r="P67" s="135">
        <v>16843.877170000003</v>
      </c>
      <c r="Q67" s="133">
        <f t="shared" si="18"/>
        <v>49.918233590099256</v>
      </c>
    </row>
    <row r="68" spans="1:17" ht="24.75" customHeight="1" x14ac:dyDescent="0.3">
      <c r="A68" s="76" t="s">
        <v>29</v>
      </c>
      <c r="B68" s="91">
        <v>285</v>
      </c>
      <c r="C68" s="92">
        <v>1029.1833333333334</v>
      </c>
      <c r="D68" s="103">
        <v>731.93</v>
      </c>
      <c r="E68" s="91">
        <v>5044</v>
      </c>
      <c r="F68" s="92">
        <v>16236.06</v>
      </c>
      <c r="G68" s="92">
        <v>32421.815999999999</v>
      </c>
      <c r="H68" s="129">
        <f t="shared" si="15"/>
        <v>50.077577394184217</v>
      </c>
      <c r="I68" s="93">
        <v>2426.4146700000006</v>
      </c>
      <c r="J68" s="94"/>
      <c r="K68" s="94">
        <f t="shared" si="16"/>
        <v>2426.4146700000006</v>
      </c>
      <c r="L68" s="93">
        <v>1217.7045000000001</v>
      </c>
      <c r="M68" s="94">
        <v>5794.1016872099981</v>
      </c>
      <c r="N68" s="94"/>
      <c r="O68" s="80">
        <f t="shared" si="17"/>
        <v>7011.8061872099979</v>
      </c>
      <c r="P68" s="94">
        <v>14645.369999999999</v>
      </c>
      <c r="Q68" s="129">
        <f t="shared" si="18"/>
        <v>47.877289458784574</v>
      </c>
    </row>
    <row r="69" spans="1:17" ht="24.75" customHeight="1" x14ac:dyDescent="0.3">
      <c r="A69" s="121" t="s">
        <v>30</v>
      </c>
      <c r="B69" s="130">
        <v>224</v>
      </c>
      <c r="C69" s="131">
        <v>791.65</v>
      </c>
      <c r="D69" s="132">
        <v>571.47500000000002</v>
      </c>
      <c r="E69" s="130">
        <v>3591</v>
      </c>
      <c r="F69" s="131">
        <v>11279.331</v>
      </c>
      <c r="G69" s="131">
        <v>24798.501</v>
      </c>
      <c r="H69" s="133">
        <f t="shared" si="15"/>
        <v>45.483922596773084</v>
      </c>
      <c r="I69" s="134">
        <v>2014.2970800000003</v>
      </c>
      <c r="J69" s="135"/>
      <c r="K69" s="135">
        <f t="shared" si="16"/>
        <v>2014.2970800000003</v>
      </c>
      <c r="L69" s="134">
        <v>845.94982499999992</v>
      </c>
      <c r="M69" s="135">
        <v>4788.3939004000003</v>
      </c>
      <c r="N69" s="135"/>
      <c r="O69" s="136">
        <f t="shared" si="17"/>
        <v>5634.3437254</v>
      </c>
      <c r="P69" s="135">
        <v>11130.353300000001</v>
      </c>
      <c r="Q69" s="133">
        <f t="shared" si="18"/>
        <v>50.621427492333062</v>
      </c>
    </row>
    <row r="70" spans="1:17" ht="24.75" customHeight="1" x14ac:dyDescent="0.3">
      <c r="A70" s="76" t="s">
        <v>31</v>
      </c>
      <c r="B70" s="91">
        <v>177</v>
      </c>
      <c r="C70" s="92">
        <v>639.98333333333335</v>
      </c>
      <c r="D70" s="103">
        <v>457.714</v>
      </c>
      <c r="E70" s="91">
        <v>3025</v>
      </c>
      <c r="F70" s="92">
        <v>8918.357</v>
      </c>
      <c r="G70" s="92">
        <v>18217.899000000001</v>
      </c>
      <c r="H70" s="129">
        <f t="shared" si="15"/>
        <v>48.953817341944863</v>
      </c>
      <c r="I70" s="93">
        <v>1545.6680600000002</v>
      </c>
      <c r="J70" s="94"/>
      <c r="K70" s="94">
        <f t="shared" si="16"/>
        <v>1545.6680600000002</v>
      </c>
      <c r="L70" s="93">
        <v>668.87677499999995</v>
      </c>
      <c r="M70" s="94">
        <v>3772.5776911899975</v>
      </c>
      <c r="N70" s="94"/>
      <c r="O70" s="80">
        <f t="shared" si="17"/>
        <v>4441.4544661899972</v>
      </c>
      <c r="P70" s="94">
        <v>8793.159599999999</v>
      </c>
      <c r="Q70" s="129">
        <f t="shared" si="18"/>
        <v>50.510336082038108</v>
      </c>
    </row>
    <row r="71" spans="1:17" ht="24.75" customHeight="1" x14ac:dyDescent="0.3">
      <c r="A71" s="121" t="s">
        <v>32</v>
      </c>
      <c r="B71" s="130">
        <v>180</v>
      </c>
      <c r="C71" s="131">
        <v>641.9</v>
      </c>
      <c r="D71" s="132">
        <v>454.94999999999993</v>
      </c>
      <c r="E71" s="130">
        <v>4271</v>
      </c>
      <c r="F71" s="131">
        <v>12320.968000000001</v>
      </c>
      <c r="G71" s="131">
        <v>25752.951000000001</v>
      </c>
      <c r="H71" s="133">
        <f t="shared" si="15"/>
        <v>47.842936524051169</v>
      </c>
      <c r="I71" s="134">
        <v>1433.6297399999999</v>
      </c>
      <c r="J71" s="135"/>
      <c r="K71" s="135">
        <f t="shared" si="16"/>
        <v>1433.6297399999999</v>
      </c>
      <c r="L71" s="134">
        <v>924.07259999999997</v>
      </c>
      <c r="M71" s="135">
        <v>3338.9758494600001</v>
      </c>
      <c r="N71" s="135"/>
      <c r="O71" s="136">
        <f t="shared" si="17"/>
        <v>4263.0484494600005</v>
      </c>
      <c r="P71" s="135">
        <v>8764.8050000000003</v>
      </c>
      <c r="Q71" s="133">
        <f t="shared" si="18"/>
        <v>48.638257775957371</v>
      </c>
    </row>
    <row r="72" spans="1:17" ht="24.75" customHeight="1" x14ac:dyDescent="0.3">
      <c r="A72" s="76" t="s">
        <v>33</v>
      </c>
      <c r="B72" s="109">
        <v>199</v>
      </c>
      <c r="C72" s="110">
        <v>710.06666666666661</v>
      </c>
      <c r="D72" s="111">
        <v>494.62200000000001</v>
      </c>
      <c r="E72" s="109">
        <v>5709</v>
      </c>
      <c r="F72" s="110">
        <v>16201.86</v>
      </c>
      <c r="G72" s="110">
        <v>33956.874000000003</v>
      </c>
      <c r="H72" s="112">
        <f t="shared" si="15"/>
        <v>47.713049204705946</v>
      </c>
      <c r="I72" s="113">
        <v>1400.9119800000001</v>
      </c>
      <c r="J72" s="114"/>
      <c r="K72" s="114">
        <f t="shared" si="16"/>
        <v>1400.9119800000001</v>
      </c>
      <c r="L72" s="113">
        <v>1215.1395</v>
      </c>
      <c r="M72" s="114">
        <v>3254.0911094299986</v>
      </c>
      <c r="N72" s="114"/>
      <c r="O72" s="112">
        <f t="shared" si="17"/>
        <v>4469.2306094299984</v>
      </c>
      <c r="P72" s="114">
        <v>9560.7039999999997</v>
      </c>
      <c r="Q72" s="112">
        <f t="shared" si="18"/>
        <v>46.745831786341242</v>
      </c>
    </row>
    <row r="73" spans="1:17" ht="24.75" customHeight="1" x14ac:dyDescent="0.3">
      <c r="A73" s="137" t="s">
        <v>34</v>
      </c>
      <c r="B73" s="138">
        <f t="shared" ref="B73:G73" si="19">SUM(B61:B72)</f>
        <v>5449</v>
      </c>
      <c r="C73" s="138">
        <f t="shared" si="19"/>
        <v>19302.283333333336</v>
      </c>
      <c r="D73" s="138">
        <f t="shared" si="19"/>
        <v>13880.539000000002</v>
      </c>
      <c r="E73" s="138">
        <f t="shared" si="19"/>
        <v>336861</v>
      </c>
      <c r="F73" s="138">
        <f t="shared" si="19"/>
        <v>817578.35499999998</v>
      </c>
      <c r="G73" s="138">
        <f t="shared" si="19"/>
        <v>1195852.3700000003</v>
      </c>
      <c r="H73" s="139">
        <f t="shared" si="15"/>
        <v>68.367833313739197</v>
      </c>
      <c r="I73" s="140">
        <f>SUM(I61:I72)</f>
        <v>30333.822949999998</v>
      </c>
      <c r="J73" s="140">
        <f>SUM(J61:J72)</f>
        <v>0</v>
      </c>
      <c r="K73" s="140">
        <f t="shared" si="16"/>
        <v>30333.822949999998</v>
      </c>
      <c r="L73" s="140">
        <f>SUM(L61:L72)</f>
        <v>61318.376624999983</v>
      </c>
      <c r="M73" s="140">
        <f>SUM(M61:M72)</f>
        <v>81132.493082869987</v>
      </c>
      <c r="N73" s="140">
        <f>SUM(N61:N72)</f>
        <v>0</v>
      </c>
      <c r="O73" s="140">
        <f t="shared" si="17"/>
        <v>142450.86970786998</v>
      </c>
      <c r="P73" s="140">
        <f>SUM(P61:P72)</f>
        <v>308193.40937000007</v>
      </c>
      <c r="Q73" s="139">
        <f t="shared" si="18"/>
        <v>46.221257618410419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2023-01-13T09:04:55Z</dcterms:created>
  <dcterms:modified xsi:type="dcterms:W3CDTF">2023-01-16T10:12:30Z</dcterms:modified>
</cp:coreProperties>
</file>