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H73" i="2" s="1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Q35" i="2" l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<sst xmlns="http://schemas.openxmlformats.org/spreadsheetml/2006/main" count="153" uniqueCount="42">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</sst>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8" transitionEvaluation="1" transitionEntry="1" codeName="Sheet12"/>
  <dimension ref="A1:Q494"/>
  <sheetViews>
    <sheetView showGridLines="0" tabSelected="1" view="pageBreakPreview" topLeftCell="A28" zoomScaleNormal="85" zoomScaleSheetLayoutView="100" workbookViewId="0">
      <selection activeCell="C39" sqref="C39:N39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5">
        <v>2022</v>
      </c>
      <c r="B1" s="165"/>
      <c r="C1" s="166" t="s">
        <v>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 t="s">
        <v>1</v>
      </c>
      <c r="P1" s="167"/>
      <c r="Q1" s="167"/>
    </row>
    <row r="2" spans="1:17" ht="33" customHeight="1" x14ac:dyDescent="0.3">
      <c r="A2" s="168" t="s">
        <v>2</v>
      </c>
      <c r="B2" s="170" t="s">
        <v>3</v>
      </c>
      <c r="C2" s="170"/>
      <c r="D2" s="170"/>
      <c r="E2" s="171" t="s">
        <v>4</v>
      </c>
      <c r="F2" s="171" t="s">
        <v>5</v>
      </c>
      <c r="G2" s="171" t="s">
        <v>6</v>
      </c>
      <c r="H2" s="171" t="s">
        <v>7</v>
      </c>
      <c r="I2" s="170" t="s">
        <v>8</v>
      </c>
      <c r="J2" s="170"/>
      <c r="K2" s="170"/>
      <c r="L2" s="170" t="s">
        <v>9</v>
      </c>
      <c r="M2" s="170"/>
      <c r="N2" s="170"/>
      <c r="O2" s="170"/>
      <c r="P2" s="171" t="s">
        <v>10</v>
      </c>
      <c r="Q2" s="171" t="s">
        <v>11</v>
      </c>
    </row>
    <row r="3" spans="1:17" ht="155.25" customHeight="1" x14ac:dyDescent="0.3">
      <c r="A3" s="169"/>
      <c r="B3" s="2" t="s">
        <v>12</v>
      </c>
      <c r="C3" s="2" t="s">
        <v>13</v>
      </c>
      <c r="D3" s="2" t="s">
        <v>14</v>
      </c>
      <c r="E3" s="171"/>
      <c r="F3" s="171"/>
      <c r="G3" s="171"/>
      <c r="H3" s="171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71"/>
      <c r="Q3" s="171"/>
    </row>
    <row r="4" spans="1:17" ht="23.1" customHeight="1" x14ac:dyDescent="0.3">
      <c r="A4" s="4" t="s">
        <v>22</v>
      </c>
      <c r="B4" s="5">
        <v>2745</v>
      </c>
      <c r="C4" s="5">
        <v>3369</v>
      </c>
      <c r="D4" s="6">
        <v>1975</v>
      </c>
      <c r="E4" s="7">
        <v>79509</v>
      </c>
      <c r="F4" s="5">
        <v>33309</v>
      </c>
      <c r="G4" s="5">
        <v>68614</v>
      </c>
      <c r="H4" s="8">
        <f>IFERROR(F4/G4*100," ")</f>
        <v>48.545486343894837</v>
      </c>
      <c r="I4" s="9">
        <v>33.450000000000003</v>
      </c>
      <c r="J4" s="10"/>
      <c r="K4" s="8">
        <f>IF(AND(ISBLANK(I4),ISBLANK(J4))=TRUE,"",I4+J4)</f>
        <v>33.450000000000003</v>
      </c>
      <c r="L4" s="9">
        <v>3031</v>
      </c>
      <c r="M4" s="10">
        <v>16</v>
      </c>
      <c r="N4" s="10"/>
      <c r="O4" s="8">
        <f>IF(AND(ISBLANK(L4),ISBLANK(M4),ISBLANK(N4))=TRUE,"",L4+M4+N4)</f>
        <v>3047</v>
      </c>
      <c r="P4" s="10">
        <v>6364</v>
      </c>
      <c r="Q4" s="8">
        <f>IFERROR(O4/P4*100," ")</f>
        <v>47.87869264613451</v>
      </c>
    </row>
    <row r="5" spans="1:17" ht="23.1" customHeight="1" x14ac:dyDescent="0.3">
      <c r="A5" s="11" t="s">
        <v>23</v>
      </c>
      <c r="B5" s="12">
        <v>2620</v>
      </c>
      <c r="C5" s="12">
        <v>3302</v>
      </c>
      <c r="D5" s="11">
        <v>1819</v>
      </c>
      <c r="E5" s="13">
        <v>111715</v>
      </c>
      <c r="F5" s="12">
        <v>46365</v>
      </c>
      <c r="G5" s="12">
        <v>64487</v>
      </c>
      <c r="H5" s="14">
        <f t="shared" ref="H5:H16" si="0">IFERROR(F5/G5*100," ")</f>
        <v>71.898212042737299</v>
      </c>
      <c r="I5" s="15">
        <v>37.770000000000003</v>
      </c>
      <c r="J5" s="16"/>
      <c r="K5" s="14">
        <f t="shared" ref="K5:K16" si="1">IF(AND(ISBLANK(I5),ISBLANK(J5))=TRUE,"",I5+J5)</f>
        <v>37.770000000000003</v>
      </c>
      <c r="L5" s="15">
        <v>4219</v>
      </c>
      <c r="M5" s="16">
        <v>18</v>
      </c>
      <c r="N5" s="16"/>
      <c r="O5" s="14">
        <f t="shared" ref="O5:O16" si="2">IF(AND(ISBLANK(L5),ISBLANK(M5),ISBLANK(N5))=TRUE,"",L5+M5+N5)</f>
        <v>4237</v>
      </c>
      <c r="P5" s="16">
        <v>5973</v>
      </c>
      <c r="Q5" s="14">
        <f t="shared" ref="Q5:Q16" si="3">IFERROR(O5/P5*100," ")</f>
        <v>70.935878118198559</v>
      </c>
    </row>
    <row r="6" spans="1:17" ht="23.1" customHeight="1" x14ac:dyDescent="0.3">
      <c r="A6" s="17" t="s">
        <v>24</v>
      </c>
      <c r="B6" s="18">
        <v>3209</v>
      </c>
      <c r="C6" s="18">
        <v>4130</v>
      </c>
      <c r="D6" s="17">
        <v>2120</v>
      </c>
      <c r="E6" s="19">
        <v>145441</v>
      </c>
      <c r="F6" s="18">
        <v>58434</v>
      </c>
      <c r="G6" s="18">
        <v>78966</v>
      </c>
      <c r="H6" s="20">
        <f t="shared" si="0"/>
        <v>73.998936251044753</v>
      </c>
      <c r="I6" s="21">
        <v>47.78</v>
      </c>
      <c r="J6" s="22"/>
      <c r="K6" s="20">
        <f t="shared" si="1"/>
        <v>47.78</v>
      </c>
      <c r="L6" s="21">
        <v>5318</v>
      </c>
      <c r="M6" s="22">
        <v>22</v>
      </c>
      <c r="N6" s="22"/>
      <c r="O6" s="20">
        <f t="shared" si="2"/>
        <v>5340</v>
      </c>
      <c r="P6" s="22">
        <v>7319</v>
      </c>
      <c r="Q6" s="20">
        <f t="shared" si="3"/>
        <v>72.960786992758571</v>
      </c>
    </row>
    <row r="7" spans="1:17" ht="23.1" customHeight="1" x14ac:dyDescent="0.3">
      <c r="A7" s="11" t="s">
        <v>25</v>
      </c>
      <c r="B7" s="12">
        <v>2907</v>
      </c>
      <c r="C7" s="12">
        <v>3837.1833333333329</v>
      </c>
      <c r="D7" s="11">
        <v>2217.6950000000002</v>
      </c>
      <c r="E7" s="13">
        <v>120306</v>
      </c>
      <c r="F7" s="12">
        <v>48693.097000000002</v>
      </c>
      <c r="G7" s="12">
        <v>72765.279999999999</v>
      </c>
      <c r="H7" s="14">
        <f t="shared" si="0"/>
        <v>66.918037008859173</v>
      </c>
      <c r="I7" s="15">
        <v>34.56</v>
      </c>
      <c r="J7" s="16"/>
      <c r="K7" s="14">
        <f t="shared" si="1"/>
        <v>34.56</v>
      </c>
      <c r="L7" s="15">
        <v>4951.4040000000005</v>
      </c>
      <c r="M7" s="16">
        <v>17.8686498</v>
      </c>
      <c r="N7" s="16"/>
      <c r="O7" s="14">
        <f t="shared" si="2"/>
        <v>4969.2726498000002</v>
      </c>
      <c r="P7" s="16">
        <v>7364.1904999999997</v>
      </c>
      <c r="Q7" s="14">
        <f t="shared" si="3"/>
        <v>67.478871571831291</v>
      </c>
    </row>
    <row r="8" spans="1:17" s="23" customFormat="1" ht="30" customHeight="1" x14ac:dyDescent="0.25">
      <c r="A8" s="17" t="s">
        <v>26</v>
      </c>
      <c r="B8" s="18">
        <v>3085</v>
      </c>
      <c r="C8" s="18">
        <v>4174.7489999999971</v>
      </c>
      <c r="D8" s="17">
        <v>2263.4470000000001</v>
      </c>
      <c r="E8" s="19">
        <v>125358</v>
      </c>
      <c r="F8" s="18">
        <v>50627.438999999998</v>
      </c>
      <c r="G8" s="18">
        <v>77281.834000000003</v>
      </c>
      <c r="H8" s="20">
        <f t="shared" si="0"/>
        <v>65.510141749482813</v>
      </c>
      <c r="I8" s="21">
        <v>29.42</v>
      </c>
      <c r="J8" s="22"/>
      <c r="K8" s="20">
        <f t="shared" si="1"/>
        <v>29.42</v>
      </c>
      <c r="L8" s="21">
        <v>5121.9620000000004</v>
      </c>
      <c r="M8" s="22">
        <v>15.538</v>
      </c>
      <c r="N8" s="22"/>
      <c r="O8" s="20">
        <f t="shared" si="2"/>
        <v>5137.5</v>
      </c>
      <c r="P8" s="22">
        <v>7792.5559999999996</v>
      </c>
      <c r="Q8" s="20">
        <f t="shared" si="3"/>
        <v>65.928303883860451</v>
      </c>
    </row>
    <row r="9" spans="1:17" ht="23.1" customHeight="1" x14ac:dyDescent="0.3">
      <c r="A9" s="11" t="s">
        <v>27</v>
      </c>
      <c r="B9" s="12">
        <v>2907</v>
      </c>
      <c r="C9" s="12">
        <v>3837.1833333333329</v>
      </c>
      <c r="D9" s="11">
        <v>2217.6950000000002</v>
      </c>
      <c r="E9" s="13">
        <v>120306</v>
      </c>
      <c r="F9" s="12">
        <v>48693.097000000002</v>
      </c>
      <c r="G9" s="12">
        <v>72765.279999999999</v>
      </c>
      <c r="H9" s="14">
        <f t="shared" si="0"/>
        <v>66.918037008859173</v>
      </c>
      <c r="I9" s="15">
        <v>34.56</v>
      </c>
      <c r="J9" s="16"/>
      <c r="K9" s="14">
        <f t="shared" si="1"/>
        <v>34.56</v>
      </c>
      <c r="L9" s="15">
        <v>4951.4040000000005</v>
      </c>
      <c r="M9" s="16">
        <v>17.8686498</v>
      </c>
      <c r="N9" s="16"/>
      <c r="O9" s="14">
        <f t="shared" si="2"/>
        <v>4969.2726498000002</v>
      </c>
      <c r="P9" s="16">
        <v>7364.1904999999997</v>
      </c>
      <c r="Q9" s="14">
        <f t="shared" si="3"/>
        <v>67.478871571831291</v>
      </c>
    </row>
    <row r="10" spans="1:17" ht="23.1" customHeight="1" x14ac:dyDescent="0.3">
      <c r="A10" s="17" t="s">
        <v>28</v>
      </c>
      <c r="B10" s="18">
        <v>2620</v>
      </c>
      <c r="C10" s="18">
        <v>3302</v>
      </c>
      <c r="D10" s="17">
        <v>1819</v>
      </c>
      <c r="E10" s="19">
        <v>111715</v>
      </c>
      <c r="F10" s="18">
        <v>46365</v>
      </c>
      <c r="G10" s="18">
        <v>64487</v>
      </c>
      <c r="H10" s="20">
        <f t="shared" si="0"/>
        <v>71.898212042737299</v>
      </c>
      <c r="I10" s="21">
        <v>37.770000000000003</v>
      </c>
      <c r="J10" s="22"/>
      <c r="K10" s="20">
        <f t="shared" si="1"/>
        <v>37.770000000000003</v>
      </c>
      <c r="L10" s="21">
        <v>4219</v>
      </c>
      <c r="M10" s="22">
        <v>18</v>
      </c>
      <c r="N10" s="22"/>
      <c r="O10" s="20">
        <f t="shared" si="2"/>
        <v>4237</v>
      </c>
      <c r="P10" s="22">
        <v>5973</v>
      </c>
      <c r="Q10" s="20">
        <f t="shared" si="3"/>
        <v>70.935878118198559</v>
      </c>
    </row>
    <row r="11" spans="1:17" ht="23.1" customHeight="1" x14ac:dyDescent="0.3">
      <c r="A11" s="11" t="s">
        <v>29</v>
      </c>
      <c r="B11" s="12">
        <v>3085</v>
      </c>
      <c r="C11" s="12">
        <v>3958</v>
      </c>
      <c r="D11" s="11">
        <v>2263</v>
      </c>
      <c r="E11" s="13">
        <v>125358</v>
      </c>
      <c r="F11" s="12">
        <v>56284</v>
      </c>
      <c r="G11" s="12">
        <v>84022</v>
      </c>
      <c r="H11" s="14">
        <f t="shared" si="0"/>
        <v>66.987217633476945</v>
      </c>
      <c r="I11" s="15">
        <v>29.42</v>
      </c>
      <c r="J11" s="16"/>
      <c r="K11" s="14">
        <f t="shared" si="1"/>
        <v>29.42</v>
      </c>
      <c r="L11" s="15">
        <v>5122</v>
      </c>
      <c r="M11" s="16">
        <v>16</v>
      </c>
      <c r="N11" s="16"/>
      <c r="O11" s="14">
        <f t="shared" si="2"/>
        <v>5138</v>
      </c>
      <c r="P11" s="16">
        <v>7793</v>
      </c>
      <c r="Q11" s="14">
        <f t="shared" si="3"/>
        <v>65.930963685358662</v>
      </c>
    </row>
    <row r="12" spans="1:17" ht="23.1" customHeight="1" x14ac:dyDescent="0.3">
      <c r="A12" s="17" t="s">
        <v>30</v>
      </c>
      <c r="B12" s="18">
        <v>2907</v>
      </c>
      <c r="C12" s="18">
        <v>3811</v>
      </c>
      <c r="D12" s="17">
        <v>2218</v>
      </c>
      <c r="E12" s="19">
        <v>120306</v>
      </c>
      <c r="F12" s="18">
        <v>54410</v>
      </c>
      <c r="G12" s="18">
        <v>79476</v>
      </c>
      <c r="H12" s="20">
        <f t="shared" si="0"/>
        <v>68.460919019578242</v>
      </c>
      <c r="I12" s="21">
        <v>34.56</v>
      </c>
      <c r="J12" s="22"/>
      <c r="K12" s="20">
        <f t="shared" si="1"/>
        <v>34.56</v>
      </c>
      <c r="L12" s="21">
        <v>4951</v>
      </c>
      <c r="M12" s="22">
        <v>18</v>
      </c>
      <c r="N12" s="22"/>
      <c r="O12" s="20">
        <f t="shared" si="2"/>
        <v>4969</v>
      </c>
      <c r="P12" s="22">
        <v>7124</v>
      </c>
      <c r="Q12" s="20">
        <f t="shared" si="3"/>
        <v>69.750140370578322</v>
      </c>
    </row>
    <row r="13" spans="1:17" ht="23.1" customHeight="1" x14ac:dyDescent="0.3">
      <c r="A13" s="11" t="s">
        <v>31</v>
      </c>
      <c r="B13" s="12">
        <v>3619</v>
      </c>
      <c r="C13" s="12">
        <v>4733</v>
      </c>
      <c r="D13" s="11">
        <v>2714</v>
      </c>
      <c r="E13" s="13">
        <v>139768</v>
      </c>
      <c r="F13" s="12">
        <v>53463</v>
      </c>
      <c r="G13" s="12">
        <v>86225</v>
      </c>
      <c r="H13" s="14">
        <f t="shared" si="0"/>
        <v>62.004059147579007</v>
      </c>
      <c r="I13" s="15">
        <v>30.731000000000002</v>
      </c>
      <c r="J13" s="16"/>
      <c r="K13" s="14">
        <f t="shared" si="1"/>
        <v>30.731000000000002</v>
      </c>
      <c r="L13" s="15">
        <v>2795</v>
      </c>
      <c r="M13" s="16">
        <v>20</v>
      </c>
      <c r="N13" s="16">
        <v>0</v>
      </c>
      <c r="O13" s="14">
        <f t="shared" si="2"/>
        <v>2815</v>
      </c>
      <c r="P13" s="16">
        <v>7124</v>
      </c>
      <c r="Q13" s="14">
        <f t="shared" si="3"/>
        <v>39.514317798989332</v>
      </c>
    </row>
    <row r="14" spans="1:17" ht="23.1" customHeight="1" x14ac:dyDescent="0.3">
      <c r="A14" s="17" t="s">
        <v>32</v>
      </c>
      <c r="B14" s="18">
        <v>3548</v>
      </c>
      <c r="C14" s="18">
        <v>4642</v>
      </c>
      <c r="D14" s="17">
        <v>1266</v>
      </c>
      <c r="E14" s="19">
        <v>144477</v>
      </c>
      <c r="F14" s="18">
        <v>56621</v>
      </c>
      <c r="G14" s="18">
        <v>84152</v>
      </c>
      <c r="H14" s="20">
        <f t="shared" si="0"/>
        <v>67.284200019013213</v>
      </c>
      <c r="I14" s="21">
        <v>17</v>
      </c>
      <c r="J14" s="22">
        <v>1.47543</v>
      </c>
      <c r="K14" s="20">
        <f t="shared" si="1"/>
        <v>18.475429999999999</v>
      </c>
      <c r="L14" s="21">
        <v>5075</v>
      </c>
      <c r="M14" s="22">
        <v>20</v>
      </c>
      <c r="N14" s="22"/>
      <c r="O14" s="20">
        <f t="shared" si="2"/>
        <v>5095</v>
      </c>
      <c r="P14" s="22">
        <v>6346</v>
      </c>
      <c r="Q14" s="20">
        <f t="shared" si="3"/>
        <v>80.286794831389855</v>
      </c>
    </row>
    <row r="15" spans="1:17" ht="23.1" customHeight="1" x14ac:dyDescent="0.3">
      <c r="A15" s="24" t="s">
        <v>33</v>
      </c>
      <c r="B15" s="25">
        <v>4025</v>
      </c>
      <c r="C15" s="25">
        <v>5128</v>
      </c>
      <c r="D15" s="26">
        <v>1457</v>
      </c>
      <c r="E15" s="27">
        <v>169217</v>
      </c>
      <c r="F15" s="25">
        <v>66326</v>
      </c>
      <c r="G15" s="25">
        <v>94764</v>
      </c>
      <c r="H15" s="28">
        <f t="shared" si="0"/>
        <v>69.99071377316281</v>
      </c>
      <c r="I15" s="29">
        <v>39</v>
      </c>
      <c r="J15" s="30">
        <v>3.92</v>
      </c>
      <c r="K15" s="28">
        <f t="shared" si="1"/>
        <v>42.92</v>
      </c>
      <c r="L15" s="29">
        <v>5990</v>
      </c>
      <c r="M15" s="30">
        <v>17</v>
      </c>
      <c r="N15" s="30">
        <v>3.92</v>
      </c>
      <c r="O15" s="28">
        <f t="shared" si="2"/>
        <v>6010.92</v>
      </c>
      <c r="P15" s="16">
        <v>8410</v>
      </c>
      <c r="Q15" s="14">
        <f t="shared" si="3"/>
        <v>71.473483947681331</v>
      </c>
    </row>
    <row r="16" spans="1:17" ht="23.1" customHeight="1" x14ac:dyDescent="0.3">
      <c r="A16" s="31" t="s">
        <v>34</v>
      </c>
      <c r="B16" s="32">
        <f t="shared" ref="B16:G16" si="4">SUM(B4:B15)</f>
        <v>37277</v>
      </c>
      <c r="C16" s="32">
        <f t="shared" si="4"/>
        <v>48224.115666666665</v>
      </c>
      <c r="D16" s="32">
        <f t="shared" si="4"/>
        <v>24349.837</v>
      </c>
      <c r="E16" s="32">
        <f t="shared" si="4"/>
        <v>1513476</v>
      </c>
      <c r="F16" s="32">
        <f t="shared" si="4"/>
        <v>619590.63300000003</v>
      </c>
      <c r="G16" s="32">
        <f t="shared" si="4"/>
        <v>928005.39400000009</v>
      </c>
      <c r="H16" s="33">
        <f t="shared" si="0"/>
        <v>66.765843927842511</v>
      </c>
      <c r="I16" s="33">
        <f>SUM(I4:I15)</f>
        <v>406.02100000000002</v>
      </c>
      <c r="J16" s="33">
        <f>SUM(J4:J15)</f>
        <v>5.3954300000000002</v>
      </c>
      <c r="K16" s="33">
        <f t="shared" si="1"/>
        <v>411.41642999999999</v>
      </c>
      <c r="L16" s="33">
        <f>SUM(L4:L15)</f>
        <v>55744.770000000004</v>
      </c>
      <c r="M16" s="33">
        <f>SUM(M4:M15)</f>
        <v>216.27529959999998</v>
      </c>
      <c r="N16" s="33">
        <f>SUM(N4:N15)</f>
        <v>3.92</v>
      </c>
      <c r="O16" s="33">
        <f t="shared" si="2"/>
        <v>55964.9652996</v>
      </c>
      <c r="P16" s="34">
        <f>SUM(P4:P15)</f>
        <v>84946.937000000005</v>
      </c>
      <c r="Q16" s="34">
        <f t="shared" si="3"/>
        <v>65.88226400629371</v>
      </c>
    </row>
    <row r="17" spans="1:17" ht="20.100000000000001" customHeight="1" x14ac:dyDescent="0.3">
      <c r="A17" s="150" t="s">
        <v>35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8">
        <v>2022</v>
      </c>
      <c r="B20" s="158"/>
      <c r="C20" s="159" t="s">
        <v>38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60" t="s">
        <v>1</v>
      </c>
      <c r="P20" s="160"/>
      <c r="Q20" s="161"/>
    </row>
    <row r="21" spans="1:17" ht="33" customHeight="1" x14ac:dyDescent="0.3">
      <c r="A21" s="162" t="s">
        <v>2</v>
      </c>
      <c r="B21" s="162" t="s">
        <v>3</v>
      </c>
      <c r="C21" s="162"/>
      <c r="D21" s="162"/>
      <c r="E21" s="163" t="s">
        <v>4</v>
      </c>
      <c r="F21" s="163" t="s">
        <v>5</v>
      </c>
      <c r="G21" s="163" t="s">
        <v>6</v>
      </c>
      <c r="H21" s="163" t="s">
        <v>7</v>
      </c>
      <c r="I21" s="162" t="s">
        <v>8</v>
      </c>
      <c r="J21" s="162"/>
      <c r="K21" s="162"/>
      <c r="L21" s="162" t="s">
        <v>9</v>
      </c>
      <c r="M21" s="162"/>
      <c r="N21" s="162"/>
      <c r="O21" s="162"/>
      <c r="P21" s="163" t="s">
        <v>10</v>
      </c>
      <c r="Q21" s="163" t="s">
        <v>11</v>
      </c>
    </row>
    <row r="22" spans="1:17" ht="150.75" customHeight="1" x14ac:dyDescent="0.3">
      <c r="A22" s="162"/>
      <c r="B22" s="36" t="s">
        <v>12</v>
      </c>
      <c r="C22" s="36" t="s">
        <v>13</v>
      </c>
      <c r="D22" s="36" t="s">
        <v>14</v>
      </c>
      <c r="E22" s="163"/>
      <c r="F22" s="163"/>
      <c r="G22" s="163"/>
      <c r="H22" s="163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4"/>
      <c r="Q22" s="164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>
        <v>24</v>
      </c>
      <c r="C34" s="58">
        <v>33</v>
      </c>
      <c r="D34" s="59">
        <v>8</v>
      </c>
      <c r="E34" s="57">
        <v>585</v>
      </c>
      <c r="F34" s="58">
        <v>207</v>
      </c>
      <c r="G34" s="58">
        <v>542</v>
      </c>
      <c r="H34" s="50">
        <f t="shared" si="5"/>
        <v>38.191881918819185</v>
      </c>
      <c r="I34" s="60"/>
      <c r="J34" s="60"/>
      <c r="K34" s="60" t="str">
        <f t="shared" si="6"/>
        <v/>
      </c>
      <c r="L34" s="61">
        <v>19.670000000000002</v>
      </c>
      <c r="M34" s="60"/>
      <c r="N34" s="60"/>
      <c r="O34" s="62">
        <f t="shared" si="7"/>
        <v>19.670000000000002</v>
      </c>
      <c r="P34" s="61">
        <v>50.975999999999999</v>
      </c>
      <c r="Q34" s="62">
        <f t="shared" si="8"/>
        <v>38.586785938480858</v>
      </c>
    </row>
    <row r="35" spans="1:17" ht="23.1" customHeight="1" x14ac:dyDescent="0.3">
      <c r="A35" s="63" t="s">
        <v>34</v>
      </c>
      <c r="B35" s="64">
        <f t="shared" ref="B35:G35" si="9">SUM(B23:B34)</f>
        <v>24</v>
      </c>
      <c r="C35" s="64">
        <f t="shared" si="9"/>
        <v>33</v>
      </c>
      <c r="D35" s="64">
        <f t="shared" si="9"/>
        <v>8</v>
      </c>
      <c r="E35" s="64">
        <f t="shared" si="9"/>
        <v>585</v>
      </c>
      <c r="F35" s="64">
        <f t="shared" si="9"/>
        <v>207</v>
      </c>
      <c r="G35" s="64">
        <f t="shared" si="9"/>
        <v>542</v>
      </c>
      <c r="H35" s="65">
        <f t="shared" si="5"/>
        <v>38.191881918819185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19.670000000000002</v>
      </c>
      <c r="M35" s="66">
        <f>SUM(M23:M34)</f>
        <v>0</v>
      </c>
      <c r="N35" s="66">
        <f>SUM(N23:N34)</f>
        <v>0</v>
      </c>
      <c r="O35" s="66">
        <f t="shared" si="7"/>
        <v>19.670000000000002</v>
      </c>
      <c r="P35" s="66">
        <f>SUM(P23:P34)</f>
        <v>50.975999999999999</v>
      </c>
      <c r="Q35" s="66">
        <f t="shared" si="8"/>
        <v>38.586785938480858</v>
      </c>
    </row>
    <row r="36" spans="1:17" x14ac:dyDescent="0.3">
      <c r="A36" s="150" t="s">
        <v>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52">
        <v>2022</v>
      </c>
      <c r="B39" s="152"/>
      <c r="C39" s="153" t="s">
        <v>39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4" t="s">
        <v>1</v>
      </c>
      <c r="P39" s="154"/>
      <c r="Q39" s="154"/>
    </row>
    <row r="40" spans="1:17" ht="28.9" customHeight="1" x14ac:dyDescent="0.3">
      <c r="A40" s="155" t="s">
        <v>2</v>
      </c>
      <c r="B40" s="155" t="s">
        <v>3</v>
      </c>
      <c r="C40" s="155"/>
      <c r="D40" s="155"/>
      <c r="E40" s="156" t="s">
        <v>4</v>
      </c>
      <c r="F40" s="156" t="s">
        <v>5</v>
      </c>
      <c r="G40" s="156" t="s">
        <v>6</v>
      </c>
      <c r="H40" s="156" t="s">
        <v>7</v>
      </c>
      <c r="I40" s="155" t="s">
        <v>8</v>
      </c>
      <c r="J40" s="155"/>
      <c r="K40" s="155"/>
      <c r="L40" s="155" t="s">
        <v>9</v>
      </c>
      <c r="M40" s="155"/>
      <c r="N40" s="155"/>
      <c r="O40" s="155"/>
      <c r="P40" s="156" t="s">
        <v>10</v>
      </c>
      <c r="Q40" s="156" t="s">
        <v>11</v>
      </c>
    </row>
    <row r="41" spans="1:17" ht="178.5" customHeight="1" x14ac:dyDescent="0.3">
      <c r="A41" s="155"/>
      <c r="B41" s="67" t="s">
        <v>12</v>
      </c>
      <c r="C41" s="67" t="s">
        <v>13</v>
      </c>
      <c r="D41" s="67" t="s">
        <v>14</v>
      </c>
      <c r="E41" s="157"/>
      <c r="F41" s="157"/>
      <c r="G41" s="157"/>
      <c r="H41" s="157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7"/>
      <c r="Q41" s="157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50" t="s">
        <v>35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44">
        <v>2022</v>
      </c>
      <c r="B58" s="144"/>
      <c r="C58" s="145" t="s">
        <v>40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 t="s">
        <v>1</v>
      </c>
      <c r="P58" s="146"/>
      <c r="Q58" s="146"/>
    </row>
    <row r="59" spans="1:17" ht="28.9" customHeight="1" x14ac:dyDescent="0.3">
      <c r="A59" s="147" t="s">
        <v>2</v>
      </c>
      <c r="B59" s="147" t="s">
        <v>3</v>
      </c>
      <c r="C59" s="147"/>
      <c r="D59" s="147"/>
      <c r="E59" s="148" t="s">
        <v>4</v>
      </c>
      <c r="F59" s="148" t="s">
        <v>5</v>
      </c>
      <c r="G59" s="148" t="s">
        <v>6</v>
      </c>
      <c r="H59" s="148" t="s">
        <v>7</v>
      </c>
      <c r="I59" s="147" t="s">
        <v>8</v>
      </c>
      <c r="J59" s="147"/>
      <c r="K59" s="147"/>
      <c r="L59" s="147" t="s">
        <v>9</v>
      </c>
      <c r="M59" s="147"/>
      <c r="N59" s="147"/>
      <c r="O59" s="147"/>
      <c r="P59" s="148" t="s">
        <v>10</v>
      </c>
      <c r="Q59" s="148" t="s">
        <v>11</v>
      </c>
    </row>
    <row r="60" spans="1:17" ht="164.25" customHeight="1" x14ac:dyDescent="0.3">
      <c r="A60" s="147"/>
      <c r="B60" s="119" t="s">
        <v>12</v>
      </c>
      <c r="C60" s="119" t="s">
        <v>13</v>
      </c>
      <c r="D60" s="119" t="s">
        <v>14</v>
      </c>
      <c r="E60" s="149"/>
      <c r="F60" s="149"/>
      <c r="G60" s="149"/>
      <c r="H60" s="149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9"/>
      <c r="Q60" s="149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50" t="s">
        <v>35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2023-01-13T08:59:55Z</dcterms:created>
  <dcterms:modified xsi:type="dcterms:W3CDTF">2023-01-19T10:39:53Z</dcterms:modified>
</cp:coreProperties>
</file>