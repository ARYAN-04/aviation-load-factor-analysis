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IR INDIA EXPRESS\"/>
    </mc:Choice>
  </mc:AlternateContent>
  <bookViews>
    <workbookView xWindow="0" yWindow="0" windowWidth="24000" windowHeight="10725"/>
  </bookViews>
  <sheets>
    <sheet name="AIR INDIA EXPRESS" sheetId="8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8" l="1"/>
  <c r="Q16" i="8"/>
  <c r="Q15" i="8"/>
  <c r="Q14" i="8"/>
  <c r="Q13" i="8"/>
  <c r="Q11" i="8"/>
  <c r="H17" i="8"/>
  <c r="H16" i="8"/>
  <c r="H15" i="8"/>
  <c r="H14" i="8"/>
  <c r="H13" i="8"/>
  <c r="H11" i="8"/>
  <c r="Q12" i="8" l="1"/>
  <c r="H12" i="8"/>
  <c r="G18" i="8" l="1"/>
  <c r="C18" i="8"/>
  <c r="D18" i="8"/>
  <c r="E18" i="8"/>
  <c r="F18" i="8"/>
  <c r="B18" i="8"/>
  <c r="H18" i="8" l="1"/>
  <c r="P18" i="8"/>
  <c r="O18" i="8"/>
  <c r="N18" i="8"/>
  <c r="M18" i="8"/>
  <c r="L18" i="8"/>
  <c r="K18" i="8"/>
  <c r="J18" i="8"/>
  <c r="I18" i="8"/>
  <c r="Q18" i="8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<sst xmlns="http://schemas.openxmlformats.org/spreadsheetml/2006/main" count="26" uniqueCount="24">
  <si>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</si>
  <si>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</si>
  <si>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</si>
  <si>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</si>
  <si>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</si>
  <si>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</si>
  <si>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</si>
  <si>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</si>
  <si>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</si>
  <si>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</si>
  <si>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</si>
  <si>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</si>
  <si>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</si>
  <si>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</si>
  <si>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</si>
  <si>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</si>
  <si>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</si>
  <si>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</si>
  <si>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</si>
  <si>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</si>
  <si>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 xml:space="preserve">तालिका 1.01 एयर इंडिया एक्सप्रेस (राष्ट्रीय) </t>
  </si>
  <si>
    <t xml:space="preserve">Table 1.01  AIR INDIA EXPRESS </t>
  </si>
  <si>
    <t>2023-24</t>
  </si>
  <si>
    <t>MONTHLY TRAFFIC AND OPERATING STATISTICS OF AIR INDIA EXPRESS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</si>
</sst>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</cellStyleXfs>
  <cellXfs count="29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0" fillId="0" borderId="0" xfId="0" applyNumberFormat="1" applyFont="1"/>
    <xf numFmtId="2" fontId="0" fillId="0" borderId="0" xfId="0" applyNumberFormat="1" applyFont="1"/>
    <xf numFmtId="167" fontId="0" fillId="0" borderId="0" xfId="0" applyNumberFormat="1" applyFont="1"/>
    <xf numFmtId="1" fontId="0" fillId="0" borderId="0" xfId="0" applyNumberFormat="1" applyFont="1"/>
    <xf numFmtId="43" fontId="3" fillId="4" borderId="1" xfId="3" applyNumberFormat="1" applyBorder="1" applyAlignment="1">
      <alignment horizontal="right" vertical="center"/>
    </xf>
    <xf numFmtId="4" fontId="4" fillId="4" borderId="1" xfId="3" applyNumberFormat="1" applyFont="1" applyBorder="1" applyAlignment="1" applyProtection="1">
      <alignment horizontal="right" vertical="center" wrapText="1"/>
    </xf>
    <xf numFmtId="43" fontId="0" fillId="0" borderId="1" xfId="1" applyNumberFormat="1" applyFont="1" applyBorder="1" applyAlignment="1">
      <alignment horizontal="right" vertical="center"/>
    </xf>
    <xf numFmtId="168" fontId="3" fillId="5" borderId="1" xfId="4" applyNumberFormat="1" applyFill="1" applyBorder="1" applyAlignment="1" applyProtection="1">
      <alignment horizontal="center" vertical="center" wrapText="1"/>
    </xf>
    <xf numFmtId="168" fontId="3" fillId="7" borderId="1" xfId="4" applyNumberForma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40% - Accent1" xfId="4" builtinId="31"/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2" zoomScaleNormal="130" zoomScaleSheetLayoutView="112" workbookViewId="0">
      <selection activeCell="L18" sqref="L18:M18"/>
    </sheetView>
  </sheetViews>
  <sheetFormatPr defaultRowHeight="15" x14ac:dyDescent="0.25"/>
  <cols>
    <col min="1" max="1" width="14" bestFit="1" customWidth="1"/>
    <col min="2" max="2" width="9.42578125" customWidth="1"/>
    <col min="3" max="3" width="7.85546875" customWidth="1"/>
    <col min="4" max="4" width="7" bestFit="1" customWidth="1"/>
    <col min="5" max="5" width="9.42578125" customWidth="1"/>
    <col min="6" max="6" width="9.140625" bestFit="1" customWidth="1"/>
    <col min="7" max="8" width="7.140625" customWidth="1"/>
    <col min="9" max="9" width="7.28515625" customWidth="1"/>
    <col min="10" max="10" width="5" customWidth="1"/>
    <col min="11" max="11" width="7.7109375" customWidth="1"/>
    <col min="12" max="12" width="6" bestFit="1" customWidth="1"/>
    <col min="13" max="13" width="5.42578125" customWidth="1"/>
    <col min="14" max="14" width="5.7109375" customWidth="1"/>
    <col min="15" max="15" width="7.140625" customWidth="1"/>
    <col min="16" max="16" width="11.5703125" bestFit="1" customWidth="1"/>
    <col min="17" max="17" width="7.42578125" customWidth="1"/>
  </cols>
  <sheetData>
    <row r="1" spans="1:17" x14ac:dyDescent="0.25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7" t="s">
        <v>23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33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9" t="s">
        <v>3</v>
      </c>
      <c r="H4" s="19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9" t="s">
        <v>7</v>
      </c>
      <c r="Q4" s="19" t="s">
        <v>8</v>
      </c>
    </row>
    <row r="5" spans="1:17" ht="111" customHeight="1" x14ac:dyDescent="0.25">
      <c r="A5" s="27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0"/>
      <c r="H5" s="20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0"/>
      <c r="Q5" s="20"/>
    </row>
    <row r="6" spans="1:17" x14ac:dyDescent="0.25">
      <c r="A6" s="18">
        <v>45017</v>
      </c>
      <c r="B6" s="2"/>
      <c r="C6" s="2"/>
      <c r="D6" s="2"/>
      <c r="E6" s="2"/>
      <c r="F6" s="2"/>
      <c r="G6" s="2"/>
      <c r="H6" s="5"/>
      <c r="I6" s="5"/>
      <c r="J6" s="5"/>
      <c r="K6" s="5"/>
      <c r="L6" s="5"/>
      <c r="M6" s="5"/>
      <c r="N6" s="5"/>
      <c r="O6" s="14"/>
      <c r="P6" s="5"/>
      <c r="Q6" s="5"/>
    </row>
    <row r="7" spans="1:17" x14ac:dyDescent="0.25">
      <c r="A7" s="17">
        <v>45047</v>
      </c>
      <c r="B7" s="3"/>
      <c r="C7" s="3"/>
      <c r="D7" s="3"/>
      <c r="E7" s="3"/>
      <c r="F7" s="3"/>
      <c r="G7" s="3"/>
      <c r="H7" s="6"/>
      <c r="I7" s="6"/>
      <c r="J7" s="6"/>
      <c r="K7" s="6"/>
      <c r="L7" s="6"/>
      <c r="M7" s="6"/>
      <c r="N7" s="6"/>
      <c r="O7" s="16"/>
      <c r="P7" s="6"/>
      <c r="Q7" s="6"/>
    </row>
    <row r="8" spans="1:17" x14ac:dyDescent="0.25">
      <c r="A8" s="18">
        <v>45078</v>
      </c>
      <c r="B8" s="2"/>
      <c r="C8" s="2"/>
      <c r="D8" s="2"/>
      <c r="E8" s="2"/>
      <c r="F8" s="2"/>
      <c r="G8" s="2"/>
      <c r="H8" s="5"/>
      <c r="I8" s="5"/>
      <c r="J8" s="5"/>
      <c r="K8" s="5"/>
      <c r="L8" s="14"/>
      <c r="M8" s="5"/>
      <c r="N8" s="5"/>
      <c r="O8" s="14"/>
      <c r="P8" s="14"/>
      <c r="Q8" s="5"/>
    </row>
    <row r="9" spans="1:17" x14ac:dyDescent="0.25">
      <c r="A9" s="17">
        <v>45108</v>
      </c>
      <c r="B9" s="3"/>
      <c r="C9" s="3"/>
      <c r="D9" s="3"/>
      <c r="E9" s="3"/>
      <c r="F9" s="3"/>
      <c r="G9" s="3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18">
        <v>45139</v>
      </c>
      <c r="B10" s="2"/>
      <c r="C10" s="2"/>
      <c r="D10" s="2"/>
      <c r="E10" s="2"/>
      <c r="F10" s="2"/>
      <c r="G10" s="2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7">
        <v>45170</v>
      </c>
      <c r="B11" s="3">
        <v>173</v>
      </c>
      <c r="C11" s="3">
        <v>316.47000000000003</v>
      </c>
      <c r="D11" s="3">
        <v>147.22</v>
      </c>
      <c r="E11" s="3">
        <v>23727</v>
      </c>
      <c r="F11" s="3">
        <v>20.893169999999998</v>
      </c>
      <c r="G11" s="3">
        <v>27.382660000000001</v>
      </c>
      <c r="H11" s="6">
        <f t="shared" ref="H11:H18" si="0">F11/G11*100</f>
        <v>76.300731923049099</v>
      </c>
      <c r="I11" s="6">
        <v>3.597</v>
      </c>
      <c r="J11" s="6"/>
      <c r="K11" s="6">
        <v>3.597</v>
      </c>
      <c r="L11" s="6">
        <v>0.28079000000000004</v>
      </c>
      <c r="M11" s="6">
        <v>4.2500000000000003E-3</v>
      </c>
      <c r="N11" s="6">
        <v>0</v>
      </c>
      <c r="O11" s="6">
        <v>0.28504000000000002</v>
      </c>
      <c r="P11" s="6">
        <v>0.37537999999999999</v>
      </c>
      <c r="Q11" s="6">
        <f t="shared" ref="Q11:Q17" si="1">O11/P11*100</f>
        <v>75.933720496563481</v>
      </c>
    </row>
    <row r="12" spans="1:17" x14ac:dyDescent="0.25">
      <c r="A12" s="18">
        <v>45200</v>
      </c>
      <c r="B12" s="2">
        <v>731</v>
      </c>
      <c r="C12" s="2">
        <v>1223</v>
      </c>
      <c r="D12" s="2">
        <v>571.02763000000004</v>
      </c>
      <c r="E12" s="2">
        <v>106111</v>
      </c>
      <c r="F12" s="2">
        <v>87.592315600000006</v>
      </c>
      <c r="G12" s="2">
        <v>106.21114019999999</v>
      </c>
      <c r="H12" s="5">
        <f t="shared" si="0"/>
        <v>82.469988962607914</v>
      </c>
      <c r="I12" s="5">
        <v>40.21</v>
      </c>
      <c r="J12" s="5"/>
      <c r="K12" s="5">
        <v>40.21</v>
      </c>
      <c r="L12" s="14">
        <v>7.1579870000000003</v>
      </c>
      <c r="M12" s="5">
        <v>2.617148E-2</v>
      </c>
      <c r="N12" s="5">
        <v>0</v>
      </c>
      <c r="O12" s="14">
        <v>7.1841584799999998</v>
      </c>
      <c r="P12" s="5">
        <v>9.8996096400000013</v>
      </c>
      <c r="Q12" s="5">
        <f t="shared" si="1"/>
        <v>72.570118835513981</v>
      </c>
    </row>
    <row r="13" spans="1:17" x14ac:dyDescent="0.25">
      <c r="A13" s="17">
        <v>45231</v>
      </c>
      <c r="B13" s="3">
        <v>1036</v>
      </c>
      <c r="C13" s="3">
        <v>1854.8166666666664</v>
      </c>
      <c r="D13" s="3">
        <v>4.0610000000000008</v>
      </c>
      <c r="E13" s="3">
        <v>145064</v>
      </c>
      <c r="F13" s="3">
        <v>137.35715799999997</v>
      </c>
      <c r="G13" s="3">
        <v>170.74775900000006</v>
      </c>
      <c r="H13" s="6">
        <f t="shared" si="0"/>
        <v>80.44448653642354</v>
      </c>
      <c r="I13" s="6">
        <v>265.63050000000004</v>
      </c>
      <c r="J13" s="6"/>
      <c r="K13" s="6">
        <v>265.63050000000004</v>
      </c>
      <c r="L13" s="6">
        <v>10.301786849999996</v>
      </c>
      <c r="M13" s="6">
        <v>0.18208438650000003</v>
      </c>
      <c r="N13" s="6">
        <v>0</v>
      </c>
      <c r="O13" s="6">
        <v>10.483871236499995</v>
      </c>
      <c r="P13" s="6">
        <v>18.776900000000001</v>
      </c>
      <c r="Q13" s="6">
        <f t="shared" si="1"/>
        <v>55.833876925903603</v>
      </c>
    </row>
    <row r="14" spans="1:17" x14ac:dyDescent="0.25">
      <c r="A14" s="18">
        <v>45261</v>
      </c>
      <c r="B14" s="2">
        <v>1398</v>
      </c>
      <c r="C14" s="2">
        <v>2481</v>
      </c>
      <c r="D14" s="2">
        <v>1194</v>
      </c>
      <c r="E14" s="2">
        <v>204851</v>
      </c>
      <c r="F14" s="2">
        <v>184.0829590000001</v>
      </c>
      <c r="G14" s="2">
        <v>220.69639299999992</v>
      </c>
      <c r="H14" s="5">
        <f t="shared" si="0"/>
        <v>83.410044223060851</v>
      </c>
      <c r="I14" s="5">
        <v>258.00400000000002</v>
      </c>
      <c r="J14" s="5"/>
      <c r="K14" s="5">
        <v>258.00400000000002</v>
      </c>
      <c r="L14" s="5">
        <v>13.806221925000004</v>
      </c>
      <c r="M14" s="5">
        <v>0.32532709700000007</v>
      </c>
      <c r="N14" s="5">
        <v>0</v>
      </c>
      <c r="O14" s="5">
        <v>14.131549022000005</v>
      </c>
      <c r="P14" s="5">
        <v>24.399899999999992</v>
      </c>
      <c r="Q14" s="5">
        <f t="shared" si="1"/>
        <v>57.916421878778237</v>
      </c>
    </row>
    <row r="15" spans="1:17" x14ac:dyDescent="0.25">
      <c r="A15" s="17">
        <v>45292</v>
      </c>
      <c r="B15" s="3">
        <v>1824</v>
      </c>
      <c r="C15" s="3">
        <v>3216.6833333333334</v>
      </c>
      <c r="D15" s="3">
        <v>1581.0410000000004</v>
      </c>
      <c r="E15" s="3">
        <v>262203</v>
      </c>
      <c r="F15" s="3">
        <v>234.85059800000005</v>
      </c>
      <c r="G15" s="3">
        <v>282.90355799999986</v>
      </c>
      <c r="H15" s="6">
        <f t="shared" si="0"/>
        <v>83.01436703740579</v>
      </c>
      <c r="I15" s="6">
        <v>436.78900000000004</v>
      </c>
      <c r="J15" s="6"/>
      <c r="K15" s="6">
        <v>436.78900000000004</v>
      </c>
      <c r="L15" s="6">
        <v>17.551054875000005</v>
      </c>
      <c r="M15" s="6">
        <v>0.18527457650000001</v>
      </c>
      <c r="N15" s="6">
        <v>0</v>
      </c>
      <c r="O15" s="6">
        <v>17.736329451500005</v>
      </c>
      <c r="P15" s="6">
        <v>31.620819999999995</v>
      </c>
      <c r="Q15" s="6">
        <f t="shared" si="1"/>
        <v>56.090668905803234</v>
      </c>
    </row>
    <row r="16" spans="1:17" x14ac:dyDescent="0.25">
      <c r="A16" s="18">
        <v>45323</v>
      </c>
      <c r="B16" s="2">
        <v>2032</v>
      </c>
      <c r="C16" s="2">
        <v>3566</v>
      </c>
      <c r="D16" s="2">
        <v>1748.057</v>
      </c>
      <c r="E16" s="2">
        <v>284271</v>
      </c>
      <c r="F16" s="2">
        <v>252.81408999999999</v>
      </c>
      <c r="G16" s="2">
        <v>310.03176999999999</v>
      </c>
      <c r="H16" s="5">
        <f t="shared" si="0"/>
        <v>81.544575254336024</v>
      </c>
      <c r="I16" s="5">
        <v>471.75699999999995</v>
      </c>
      <c r="J16" s="5"/>
      <c r="K16" s="5">
        <v>471.75699999999995</v>
      </c>
      <c r="L16" s="5">
        <v>18.961056750000001</v>
      </c>
      <c r="M16" s="5">
        <v>0.54424712650000007</v>
      </c>
      <c r="N16" s="5">
        <v>0</v>
      </c>
      <c r="O16" s="5">
        <v>19.505303876499998</v>
      </c>
      <c r="P16" s="5">
        <v>34.961140000000007</v>
      </c>
      <c r="Q16" s="5">
        <f t="shared" si="1"/>
        <v>55.791384023804703</v>
      </c>
    </row>
    <row r="17" spans="1:17" x14ac:dyDescent="0.25">
      <c r="A17" s="17">
        <v>45352</v>
      </c>
      <c r="B17" s="10">
        <v>2499</v>
      </c>
      <c r="C17" s="13">
        <v>4609.6333333333359</v>
      </c>
      <c r="D17" s="13">
        <v>2358.7129999999993</v>
      </c>
      <c r="E17" s="10">
        <v>338108</v>
      </c>
      <c r="F17" s="12">
        <v>328.7319710000001</v>
      </c>
      <c r="G17" s="12">
        <v>412.68965600000013</v>
      </c>
      <c r="H17" s="6">
        <f t="shared" si="0"/>
        <v>79.655975433510733</v>
      </c>
      <c r="I17" s="10">
        <v>435.42700000000002</v>
      </c>
      <c r="J17" s="10">
        <v>0</v>
      </c>
      <c r="K17" s="10">
        <v>435.42700000000002</v>
      </c>
      <c r="L17" s="11">
        <v>17.010275175000004</v>
      </c>
      <c r="M17" s="10">
        <v>0.23105859050000002</v>
      </c>
      <c r="N17" s="10">
        <v>0</v>
      </c>
      <c r="O17" s="11">
        <v>17.241333765500002</v>
      </c>
      <c r="P17" s="12">
        <v>40.932379999999995</v>
      </c>
      <c r="Q17" s="6">
        <f t="shared" si="1"/>
        <v>42.121503234114421</v>
      </c>
    </row>
    <row r="18" spans="1:17" x14ac:dyDescent="0.25">
      <c r="A18" s="1" t="s">
        <v>22</v>
      </c>
      <c r="B18" s="4">
        <f>SUM(B6:B17)</f>
        <v>9693</v>
      </c>
      <c r="C18" s="4">
        <f t="shared" ref="C18:F18" si="2">SUM(C6:C17)</f>
        <v>17267.603333333336</v>
      </c>
      <c r="D18" s="4">
        <f t="shared" si="2"/>
        <v>7604.1196299999992</v>
      </c>
      <c r="E18" s="4">
        <f t="shared" si="2"/>
        <v>1364335</v>
      </c>
      <c r="F18" s="4">
        <f t="shared" si="2"/>
        <v>1246.3222616</v>
      </c>
      <c r="G18" s="4">
        <f>SUM(G6:G17)</f>
        <v>1530.6629361999999</v>
      </c>
      <c r="H18" s="7">
        <f t="shared" si="0"/>
        <v>81.423691142224968</v>
      </c>
      <c r="I18" s="7">
        <f t="shared" ref="I18:P18" si="3">SUM(I6:I17)</f>
        <v>1911.4145000000003</v>
      </c>
      <c r="J18" s="7">
        <f t="shared" si="3"/>
        <v>0</v>
      </c>
      <c r="K18" s="7">
        <f t="shared" si="3"/>
        <v>1911.4145000000003</v>
      </c>
      <c r="L18" s="7">
        <f t="shared" si="3"/>
        <v>85.06917257500001</v>
      </c>
      <c r="M18" s="7">
        <f t="shared" si="3"/>
        <v>1.4984132570000002</v>
      </c>
      <c r="N18" s="9">
        <f t="shared" si="3"/>
        <v>0</v>
      </c>
      <c r="O18" s="15">
        <f t="shared" si="3"/>
        <v>86.567585832000006</v>
      </c>
      <c r="P18" s="7">
        <f t="shared" si="3"/>
        <v>160.96612963999999</v>
      </c>
      <c r="Q18" s="7">
        <f t="shared" ref="Q18" si="4">O18/P18*100</f>
        <v>53.780000814834786</v>
      </c>
    </row>
    <row r="19" spans="1:17" x14ac:dyDescent="0.25">
      <c r="A19" s="21" t="s">
        <v>19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7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2022-04-25T11:47:31Z</cp:lastPrinted>
  <dcterms:created xsi:type="dcterms:W3CDTF">2018-10-29T04:00:07Z</dcterms:created>
  <dcterms:modified xsi:type="dcterms:W3CDTF">2025-01-24T06:39:11Z</dcterms:modified>
</cp:coreProperties>
</file>