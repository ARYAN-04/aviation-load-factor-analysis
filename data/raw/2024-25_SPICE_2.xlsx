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SPICEJET\"/>
    </mc:Choice>
  </mc:AlternateContent>
  <bookViews>
    <workbookView showHorizontalScroll="0" showVerticalScroll="0" xWindow="0" yWindow="0" windowWidth="12015" windowHeight="9495"/>
  </bookViews>
  <sheets>
    <sheet name="SPICEJET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6" l="1"/>
  <c r="Q15" i="6"/>
  <c r="Q14" i="6"/>
  <c r="Q13" i="6"/>
  <c r="Q12" i="6"/>
  <c r="Q11" i="6"/>
  <c r="Q10" i="6"/>
  <c r="Q9" i="6"/>
  <c r="Q8" i="6"/>
  <c r="Q7" i="6"/>
  <c r="Q6" i="6"/>
  <c r="H16" i="6"/>
  <c r="H15" i="6"/>
  <c r="H14" i="6"/>
  <c r="H13" i="6"/>
  <c r="H12" i="6"/>
  <c r="H11" i="6"/>
  <c r="H10" i="6"/>
  <c r="H9" i="6"/>
  <c r="H8" i="6"/>
  <c r="H7" i="6"/>
  <c r="H6" i="6"/>
  <c r="P18" i="6" l="1"/>
  <c r="Q17" i="6" l="1"/>
  <c r="H17" i="6"/>
  <c r="M18" i="6" l="1"/>
  <c r="I18" i="6"/>
  <c r="B18" i="6"/>
  <c r="L18" i="6"/>
  <c r="F18" i="6"/>
  <c r="C18" i="6"/>
  <c r="G18" i="6"/>
  <c r="E18" i="6"/>
  <c r="D18" i="6"/>
  <c r="H18" i="6" l="1"/>
  <c r="O18" i="6"/>
  <c r="Q18" i="6" s="1"/>
  <c r="K18" i="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<sst xmlns="http://schemas.openxmlformats.org/spreadsheetml/2006/main" count="26" uniqueCount="24">
  <si>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</si>
  <si>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</si>
  <si>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</si>
  <si>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</si>
  <si>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</si>
  <si>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</si>
  <si>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</si>
  <si>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</si>
  <si>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</si>
  <si>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</si>
  <si>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</si>
  <si>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</si>
  <si>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</si>
  <si>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</si>
  <si>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</si>
  <si>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</si>
  <si>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</si>
  <si>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</si>
  <si>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</si>
  <si>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(स्पाइसजेट) </t>
  </si>
  <si>
    <t>Table 1.02 (SPICEJET)</t>
  </si>
  <si>
    <t>SOURCE:-  ICAO ATR FORM 'A' FURNISHED BY SPICEJET</t>
  </si>
  <si>
    <t>2024-25</t>
  </si>
  <si>
    <t>MONTHLY TRAFFIC AND OPERATING STATISTICS OF SPICEJET ON  SCHEDULED INTERNATIONAL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</si>
</sst>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[$-409]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8">
    <xf numFmtId="0" fontId="0" fillId="0" borderId="0" xfId="0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167" fontId="0" fillId="5" borderId="1" xfId="0" applyNumberFormat="1" applyFont="1" applyFill="1" applyBorder="1"/>
    <xf numFmtId="166" fontId="5" fillId="5" borderId="1" xfId="1" applyNumberFormat="1" applyFont="1" applyFill="1" applyBorder="1" applyAlignment="1">
      <alignment horizontal="right" vertical="center"/>
    </xf>
    <xf numFmtId="166" fontId="6" fillId="4" borderId="1" xfId="3" applyNumberFormat="1" applyFont="1" applyBorder="1" applyAlignment="1" applyProtection="1">
      <alignment horizontal="center" vertical="center" wrapText="1"/>
    </xf>
    <xf numFmtId="166" fontId="6" fillId="4" borderId="1" xfId="3" applyNumberFormat="1" applyFont="1" applyBorder="1" applyAlignment="1" applyProtection="1">
      <alignment vertical="center" wrapText="1"/>
    </xf>
    <xf numFmtId="166" fontId="3" fillId="6" borderId="1" xfId="3" applyNumberFormat="1" applyFill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0" fillId="0" borderId="0" xfId="0" applyAlignment="1">
      <alignment horizontal="center"/>
    </xf>
    <xf numFmtId="167" fontId="0" fillId="0" borderId="1" xfId="0" applyNumberFormat="1" applyFont="1" applyBorder="1"/>
    <xf numFmtId="0" fontId="6" fillId="0" borderId="0" xfId="0" applyFont="1" applyBorder="1" applyAlignment="1">
      <alignment horizontal="left" wrapText="1"/>
    </xf>
    <xf numFmtId="166" fontId="6" fillId="4" borderId="1" xfId="3" applyNumberFormat="1" applyFont="1" applyBorder="1" applyAlignment="1">
      <alignment horizontal="right" vertical="center"/>
    </xf>
    <xf numFmtId="168" fontId="3" fillId="4" borderId="1" xfId="3" applyNumberFormat="1" applyBorder="1" applyAlignment="1">
      <alignment horizontal="center" vertical="center"/>
    </xf>
    <xf numFmtId="168" fontId="5" fillId="0" borderId="1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zoomScaleNormal="100" zoomScaleSheetLayoutView="130" workbookViewId="0">
      <selection activeCell="J16" sqref="J16"/>
    </sheetView>
  </sheetViews>
  <sheetFormatPr defaultRowHeight="15" x14ac:dyDescent="0.25"/>
  <cols>
    <col min="1" max="1" width="17.42578125" style="14" customWidth="1"/>
    <col min="2" max="2" width="7.7109375" customWidth="1"/>
    <col min="3" max="3" width="9.28515625" customWidth="1"/>
    <col min="4" max="4" width="8.85546875" customWidth="1"/>
    <col min="5" max="5" width="11.5703125" customWidth="1"/>
    <col min="6" max="6" width="10.85546875" customWidth="1"/>
    <col min="7" max="7" width="10.7109375" customWidth="1"/>
    <col min="8" max="8" width="7.140625" customWidth="1"/>
    <col min="9" max="9" width="9.140625" customWidth="1"/>
    <col min="10" max="10" width="10" customWidth="1"/>
    <col min="11" max="11" width="10.7109375" customWidth="1"/>
    <col min="12" max="12" width="10.28515625" customWidth="1"/>
    <col min="13" max="13" width="11.42578125" customWidth="1"/>
    <col min="14" max="14" width="5.85546875" customWidth="1"/>
    <col min="15" max="15" width="9.7109375" customWidth="1"/>
    <col min="16" max="16" width="10.85546875" customWidth="1"/>
    <col min="17" max="17" width="7.28515625" customWidth="1"/>
  </cols>
  <sheetData>
    <row r="1" spans="1:17" ht="15" customHeight="1" x14ac:dyDescent="0.25">
      <c r="A1" s="21" t="s">
        <v>19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customHeight="1" x14ac:dyDescent="0.25">
      <c r="A2" s="22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5" customHeight="1" x14ac:dyDescent="0.25">
      <c r="A3" s="24" t="s">
        <v>23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1.9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26" t="s">
        <v>3</v>
      </c>
      <c r="H4" s="26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26" t="s">
        <v>7</v>
      </c>
      <c r="Q4" s="26" t="s">
        <v>8</v>
      </c>
    </row>
    <row r="5" spans="1:17" ht="114.75" customHeight="1" x14ac:dyDescent="0.25">
      <c r="A5" s="24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27"/>
      <c r="H5" s="27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27"/>
      <c r="Q5" s="27"/>
    </row>
    <row r="6" spans="1:17" x14ac:dyDescent="0.25">
      <c r="A6" s="18">
        <v>45383</v>
      </c>
      <c r="B6" s="3">
        <v>791</v>
      </c>
      <c r="C6" s="3">
        <v>2602.0666666666666</v>
      </c>
      <c r="D6" s="3">
        <v>1894.9290000000001</v>
      </c>
      <c r="E6" s="3">
        <v>133110</v>
      </c>
      <c r="F6" s="3">
        <v>321.97479800000002</v>
      </c>
      <c r="G6" s="3">
        <v>356.20045799999997</v>
      </c>
      <c r="H6" s="4">
        <f t="shared" ref="H6:H16" si="0">F6/G6*100</f>
        <v>90.391460978974948</v>
      </c>
      <c r="I6" s="4">
        <v>496.67193000000009</v>
      </c>
      <c r="J6" s="4">
        <v>0</v>
      </c>
      <c r="K6" s="4">
        <v>496.67193000000009</v>
      </c>
      <c r="L6" s="4">
        <v>24.148109850000001</v>
      </c>
      <c r="M6" s="4">
        <v>1.1699112891100001</v>
      </c>
      <c r="N6" s="4">
        <v>0</v>
      </c>
      <c r="O6" s="4">
        <v>25.318021139110002</v>
      </c>
      <c r="P6" s="4">
        <v>35.059967999999998</v>
      </c>
      <c r="Q6" s="9">
        <f t="shared" ref="Q6:Q16" si="1">O6/P6*100</f>
        <v>72.213474750205137</v>
      </c>
    </row>
    <row r="7" spans="1:17" x14ac:dyDescent="0.25">
      <c r="A7" s="19">
        <v>45413</v>
      </c>
      <c r="B7" s="1">
        <v>858</v>
      </c>
      <c r="C7" s="1">
        <v>2764.1</v>
      </c>
      <c r="D7" s="1">
        <v>2045.172</v>
      </c>
      <c r="E7" s="1">
        <v>143066</v>
      </c>
      <c r="F7" s="1">
        <v>342.69138799999996</v>
      </c>
      <c r="G7" s="1">
        <v>383.725863</v>
      </c>
      <c r="H7" s="2">
        <f t="shared" si="0"/>
        <v>89.306304589638756</v>
      </c>
      <c r="I7" s="2">
        <v>719.12225999999987</v>
      </c>
      <c r="J7" s="2"/>
      <c r="K7" s="2">
        <v>719.12225999999987</v>
      </c>
      <c r="L7" s="2">
        <v>25.701854100000002</v>
      </c>
      <c r="M7" s="2">
        <v>1.6593618229700002</v>
      </c>
      <c r="N7" s="2">
        <v>0</v>
      </c>
      <c r="O7" s="12">
        <v>27.36121592297</v>
      </c>
      <c r="P7" s="2">
        <v>36.384444999999999</v>
      </c>
      <c r="Q7" s="2">
        <f t="shared" si="1"/>
        <v>75.200311350001357</v>
      </c>
    </row>
    <row r="8" spans="1:17" x14ac:dyDescent="0.25">
      <c r="A8" s="18">
        <v>45444</v>
      </c>
      <c r="B8" s="3">
        <v>867</v>
      </c>
      <c r="C8" s="3">
        <v>2781.1333333333332</v>
      </c>
      <c r="D8" s="3">
        <v>2076</v>
      </c>
      <c r="E8" s="3">
        <v>140093</v>
      </c>
      <c r="F8" s="3">
        <v>338.62968499999999</v>
      </c>
      <c r="G8" s="3">
        <v>403.27940100000001</v>
      </c>
      <c r="H8" s="4">
        <f t="shared" si="0"/>
        <v>83.969001183871526</v>
      </c>
      <c r="I8" s="4">
        <v>901.68096999999989</v>
      </c>
      <c r="J8" s="4">
        <v>0</v>
      </c>
      <c r="K8" s="4">
        <v>901.68096999999989</v>
      </c>
      <c r="L8" s="4">
        <v>25.397226374999999</v>
      </c>
      <c r="M8" s="4">
        <v>2.2017143724600001</v>
      </c>
      <c r="N8" s="4">
        <v>0</v>
      </c>
      <c r="O8" s="4">
        <v>27.598940747459999</v>
      </c>
      <c r="P8" s="4">
        <v>39.898046999999998</v>
      </c>
      <c r="Q8" s="4">
        <f t="shared" si="1"/>
        <v>69.173663431345403</v>
      </c>
    </row>
    <row r="9" spans="1:17" x14ac:dyDescent="0.25">
      <c r="A9" s="19">
        <v>45474</v>
      </c>
      <c r="B9" s="1">
        <v>830</v>
      </c>
      <c r="C9" s="1">
        <v>2703.75</v>
      </c>
      <c r="D9" s="1">
        <v>1992.7940000000001</v>
      </c>
      <c r="E9" s="1">
        <v>124846</v>
      </c>
      <c r="F9" s="1">
        <v>301.85615200000001</v>
      </c>
      <c r="G9" s="1">
        <v>372.12354900000003</v>
      </c>
      <c r="H9" s="2">
        <f t="shared" si="0"/>
        <v>81.117186163351349</v>
      </c>
      <c r="I9" s="2">
        <v>718.60881000000006</v>
      </c>
      <c r="J9" s="2"/>
      <c r="K9" s="2">
        <v>718.60881000000006</v>
      </c>
      <c r="L9" s="2">
        <v>22.639211399999997</v>
      </c>
      <c r="M9" s="2">
        <v>1.7174433764900001</v>
      </c>
      <c r="N9" s="2">
        <v>0</v>
      </c>
      <c r="O9" s="12">
        <v>24.356654776489997</v>
      </c>
      <c r="P9" s="2">
        <v>34.093239999999994</v>
      </c>
      <c r="Q9" s="2">
        <f t="shared" si="1"/>
        <v>71.441302664369829</v>
      </c>
    </row>
    <row r="10" spans="1:17" x14ac:dyDescent="0.25">
      <c r="A10" s="18">
        <v>45505</v>
      </c>
      <c r="B10" s="3">
        <v>736</v>
      </c>
      <c r="C10" s="3">
        <v>2460.3833333333332</v>
      </c>
      <c r="D10" s="3">
        <v>1800.972</v>
      </c>
      <c r="E10" s="3">
        <v>102576</v>
      </c>
      <c r="F10" s="3">
        <v>255.586668</v>
      </c>
      <c r="G10" s="3">
        <v>334.13142299999998</v>
      </c>
      <c r="H10" s="4">
        <f t="shared" si="0"/>
        <v>76.492855926334116</v>
      </c>
      <c r="I10" s="4">
        <v>557.96182999999996</v>
      </c>
      <c r="J10" s="4"/>
      <c r="K10" s="4">
        <v>557.96182999999996</v>
      </c>
      <c r="L10" s="4">
        <v>19.169000099999995</v>
      </c>
      <c r="M10" s="4">
        <v>1.3822396747699999</v>
      </c>
      <c r="N10" s="4">
        <v>0</v>
      </c>
      <c r="O10" s="4">
        <v>20.551239774769993</v>
      </c>
      <c r="P10" s="4">
        <v>29.970963999999999</v>
      </c>
      <c r="Q10" s="4">
        <f t="shared" si="1"/>
        <v>68.570499683527004</v>
      </c>
    </row>
    <row r="11" spans="1:17" x14ac:dyDescent="0.25">
      <c r="A11" s="19">
        <v>45536</v>
      </c>
      <c r="B11" s="1">
        <v>729</v>
      </c>
      <c r="C11" s="1">
        <v>2377.4833333333331</v>
      </c>
      <c r="D11" s="1">
        <v>1748.9659999999999</v>
      </c>
      <c r="E11" s="1">
        <v>94152</v>
      </c>
      <c r="F11" s="1">
        <v>229.13814000000002</v>
      </c>
      <c r="G11" s="1">
        <v>324.28164000000004</v>
      </c>
      <c r="H11" s="2">
        <f t="shared" si="0"/>
        <v>70.660226092356012</v>
      </c>
      <c r="I11" s="2">
        <v>556.87223999999992</v>
      </c>
      <c r="J11" s="2"/>
      <c r="K11" s="2">
        <v>556.87223999999992</v>
      </c>
      <c r="L11" s="2">
        <v>17.185360499999998</v>
      </c>
      <c r="M11" s="2">
        <v>1.3248216712700001</v>
      </c>
      <c r="N11" s="2">
        <v>0</v>
      </c>
      <c r="O11" s="12">
        <v>18.510182171269999</v>
      </c>
      <c r="P11" s="2">
        <v>28.512488000000001</v>
      </c>
      <c r="Q11" s="2">
        <f t="shared" si="1"/>
        <v>64.919561461174482</v>
      </c>
    </row>
    <row r="12" spans="1:17" x14ac:dyDescent="0.25">
      <c r="A12" s="18">
        <v>45566</v>
      </c>
      <c r="B12" s="3">
        <v>781</v>
      </c>
      <c r="C12" s="3">
        <v>2388.6833333333334</v>
      </c>
      <c r="D12" s="3">
        <v>1754.2719999999999</v>
      </c>
      <c r="E12" s="3">
        <v>112386</v>
      </c>
      <c r="F12" s="3">
        <v>249.35301999999999</v>
      </c>
      <c r="G12" s="3">
        <v>325.96355399999999</v>
      </c>
      <c r="H12" s="4">
        <f t="shared" si="0"/>
        <v>76.49720864192075</v>
      </c>
      <c r="I12" s="4">
        <v>776.51274000000001</v>
      </c>
      <c r="J12" s="4"/>
      <c r="K12" s="4">
        <v>776.51274000000001</v>
      </c>
      <c r="L12" s="4">
        <v>18.701476500000002</v>
      </c>
      <c r="M12" s="4">
        <v>1.7424653650600002</v>
      </c>
      <c r="N12" s="4">
        <v>0</v>
      </c>
      <c r="O12" s="4">
        <v>20.443941865060001</v>
      </c>
      <c r="P12" s="4">
        <v>28.735996</v>
      </c>
      <c r="Q12" s="4">
        <f t="shared" si="1"/>
        <v>71.144016950238992</v>
      </c>
    </row>
    <row r="13" spans="1:17" x14ac:dyDescent="0.25">
      <c r="A13" s="19">
        <v>45597</v>
      </c>
      <c r="B13" s="1">
        <v>810</v>
      </c>
      <c r="C13" s="1">
        <v>2544.1833333333334</v>
      </c>
      <c r="D13" s="1">
        <v>1863.251</v>
      </c>
      <c r="E13" s="1">
        <v>130724</v>
      </c>
      <c r="F13" s="1">
        <v>295.77817499999998</v>
      </c>
      <c r="G13" s="1">
        <v>349.94890600000002</v>
      </c>
      <c r="H13" s="2">
        <f t="shared" si="0"/>
        <v>84.520388527804101</v>
      </c>
      <c r="I13" s="2">
        <v>625.97448999999983</v>
      </c>
      <c r="J13" s="2">
        <v>0</v>
      </c>
      <c r="K13" s="2">
        <v>625.97448999999983</v>
      </c>
      <c r="L13" s="2">
        <v>22.183363125000003</v>
      </c>
      <c r="M13" s="2">
        <v>1.4490327955699998</v>
      </c>
      <c r="N13" s="2">
        <v>0</v>
      </c>
      <c r="O13" s="12">
        <v>23.632395920570005</v>
      </c>
      <c r="P13" s="2">
        <v>32.144795999999999</v>
      </c>
      <c r="Q13" s="2">
        <f t="shared" si="1"/>
        <v>73.518574890224869</v>
      </c>
    </row>
    <row r="14" spans="1:17" x14ac:dyDescent="0.25">
      <c r="A14" s="18">
        <v>45627</v>
      </c>
      <c r="B14" s="3">
        <v>850</v>
      </c>
      <c r="C14" s="3">
        <v>2698.6833333333334</v>
      </c>
      <c r="D14" s="3">
        <v>1960.154</v>
      </c>
      <c r="E14" s="3">
        <v>133659</v>
      </c>
      <c r="F14" s="3">
        <v>304.77792900000003</v>
      </c>
      <c r="G14" s="3">
        <v>367.69883600000003</v>
      </c>
      <c r="H14" s="4">
        <f t="shared" si="0"/>
        <v>82.887923256847088</v>
      </c>
      <c r="I14" s="4">
        <v>727.88501999999994</v>
      </c>
      <c r="J14" s="4"/>
      <c r="K14" s="4">
        <v>727.88501999999994</v>
      </c>
      <c r="L14" s="4">
        <v>22.858344674999998</v>
      </c>
      <c r="M14" s="4">
        <v>1.6810288312999999</v>
      </c>
      <c r="N14" s="4">
        <v>0</v>
      </c>
      <c r="O14" s="4">
        <v>24.539373506299995</v>
      </c>
      <c r="P14" s="4">
        <v>33.696368</v>
      </c>
      <c r="Q14" s="4">
        <f t="shared" si="1"/>
        <v>72.824980740654283</v>
      </c>
    </row>
    <row r="15" spans="1:17" x14ac:dyDescent="0.25">
      <c r="A15" s="19">
        <v>45658</v>
      </c>
      <c r="B15" s="15">
        <v>806</v>
      </c>
      <c r="C15" s="1">
        <v>2533.7666666666669</v>
      </c>
      <c r="D15" s="1">
        <v>1820.998</v>
      </c>
      <c r="E15" s="1">
        <v>125128</v>
      </c>
      <c r="F15" s="1">
        <v>283.973502</v>
      </c>
      <c r="G15" s="1">
        <v>343.88481000000002</v>
      </c>
      <c r="H15" s="2">
        <f t="shared" si="0"/>
        <v>82.578088284853294</v>
      </c>
      <c r="I15" s="2">
        <v>749.52977999999996</v>
      </c>
      <c r="J15" s="2"/>
      <c r="K15" s="2">
        <v>749.52977999999996</v>
      </c>
      <c r="L15" s="2">
        <v>21.298012649999993</v>
      </c>
      <c r="M15" s="2">
        <v>1.6919044928299996</v>
      </c>
      <c r="N15" s="2">
        <v>0</v>
      </c>
      <c r="O15" s="12">
        <v>22.989917142829992</v>
      </c>
      <c r="P15" s="2">
        <v>31.566504000000002</v>
      </c>
      <c r="Q15" s="2">
        <f t="shared" si="1"/>
        <v>72.830102259122484</v>
      </c>
    </row>
    <row r="16" spans="1:17" x14ac:dyDescent="0.25">
      <c r="A16" s="18">
        <v>45689</v>
      </c>
      <c r="B16" s="8">
        <v>680</v>
      </c>
      <c r="C16" s="3">
        <v>2128.0833333333298</v>
      </c>
      <c r="D16" s="3">
        <v>1533.1020000000001</v>
      </c>
      <c r="E16" s="3">
        <v>108189</v>
      </c>
      <c r="F16" s="3">
        <v>242.15270900000002</v>
      </c>
      <c r="G16" s="3">
        <v>289.49593499999997</v>
      </c>
      <c r="H16" s="4">
        <f t="shared" si="0"/>
        <v>83.646324429391399</v>
      </c>
      <c r="I16" s="4">
        <v>606.21205999999995</v>
      </c>
      <c r="J16" s="4"/>
      <c r="K16" s="4">
        <v>606.21205999999995</v>
      </c>
      <c r="L16" s="4">
        <v>18.161453175000005</v>
      </c>
      <c r="M16" s="4">
        <v>1.3892205501200001</v>
      </c>
      <c r="N16" s="4">
        <v>0</v>
      </c>
      <c r="O16" s="4">
        <v>19.550673725120006</v>
      </c>
      <c r="P16" s="4">
        <v>26.579716000000001</v>
      </c>
      <c r="Q16" s="4">
        <f t="shared" si="1"/>
        <v>73.554863133676847</v>
      </c>
    </row>
    <row r="17" spans="1:17" x14ac:dyDescent="0.25">
      <c r="A17" s="19">
        <v>45717</v>
      </c>
      <c r="B17" s="15">
        <v>758</v>
      </c>
      <c r="C17" s="1">
        <v>2350.8000000000002</v>
      </c>
      <c r="D17" s="1">
        <v>1703.53</v>
      </c>
      <c r="E17" s="1">
        <v>110832</v>
      </c>
      <c r="F17" s="1">
        <v>248.121161</v>
      </c>
      <c r="G17" s="1">
        <v>322.32061800000002</v>
      </c>
      <c r="H17" s="2">
        <f t="shared" ref="H17:H18" si="2">F17/G17*100</f>
        <v>76.979611958922206</v>
      </c>
      <c r="I17" s="2">
        <v>774.33888000000002</v>
      </c>
      <c r="J17" s="2"/>
      <c r="K17" s="2">
        <v>774.33888000000002</v>
      </c>
      <c r="L17" s="2">
        <v>18.609087075000001</v>
      </c>
      <c r="M17" s="2">
        <v>1.7761015326</v>
      </c>
      <c r="N17" s="2">
        <v>0</v>
      </c>
      <c r="O17" s="12">
        <v>20.385188607600004</v>
      </c>
      <c r="P17" s="2">
        <v>30.054815999999999</v>
      </c>
      <c r="Q17" s="2">
        <f t="shared" ref="Q17:Q18" si="3">O17/P17*100</f>
        <v>67.826695753519189</v>
      </c>
    </row>
    <row r="18" spans="1:17" x14ac:dyDescent="0.25">
      <c r="A18" s="5" t="s">
        <v>22</v>
      </c>
      <c r="B18" s="6">
        <f>SUM(B6:B17)</f>
        <v>9496</v>
      </c>
      <c r="C18" s="6">
        <f t="shared" ref="C18:P18" si="4">SUM(C6:C17)</f>
        <v>30333.116666666661</v>
      </c>
      <c r="D18" s="6">
        <f t="shared" si="4"/>
        <v>22194.139999999996</v>
      </c>
      <c r="E18" s="6">
        <f t="shared" si="4"/>
        <v>1458761</v>
      </c>
      <c r="F18" s="6">
        <f t="shared" si="4"/>
        <v>3414.0333269999996</v>
      </c>
      <c r="G18" s="6">
        <f t="shared" si="4"/>
        <v>4173.0549929999997</v>
      </c>
      <c r="H18" s="7">
        <f t="shared" si="2"/>
        <v>81.811366797868601</v>
      </c>
      <c r="I18" s="7">
        <f t="shared" si="4"/>
        <v>8211.3710099999989</v>
      </c>
      <c r="J18" s="11"/>
      <c r="K18" s="17">
        <f t="shared" ref="K18" si="5">I18+J18</f>
        <v>8211.3710099999989</v>
      </c>
      <c r="L18" s="7">
        <f t="shared" si="4"/>
        <v>256.05249952499997</v>
      </c>
      <c r="M18" s="7">
        <f t="shared" si="4"/>
        <v>19.185245774549998</v>
      </c>
      <c r="N18" s="10"/>
      <c r="O18" s="7">
        <f>L18+M18</f>
        <v>275.23774529954994</v>
      </c>
      <c r="P18" s="7">
        <f t="shared" si="4"/>
        <v>386.69734800000003</v>
      </c>
      <c r="Q18" s="7">
        <f t="shared" si="3"/>
        <v>71.176527773743587</v>
      </c>
    </row>
    <row r="19" spans="1:17" ht="15" customHeight="1" x14ac:dyDescent="0.25">
      <c r="A19" s="20" t="s">
        <v>21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12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</sheetData>
  <mergeCells count="13"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" right="0.7" top="0.75" bottom="0.75" header="0.3" footer="0.3"/>
  <pageSetup paperSize="9" scale="78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2022-04-26T05:56:47Z</cp:lastPrinted>
  <dcterms:created xsi:type="dcterms:W3CDTF">2018-10-29T04:00:09Z</dcterms:created>
  <dcterms:modified xsi:type="dcterms:W3CDTF">2025-11-11T10:00:30Z</dcterms:modified>
</cp:coreProperties>
</file>