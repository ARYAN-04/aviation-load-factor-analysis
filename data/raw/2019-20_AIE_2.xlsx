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24000" windowHeight="9435"/>
  </bookViews>
  <sheets>
    <sheet name="AIR INDIA EXPRES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" l="1"/>
  <c r="Q13" i="1"/>
  <c r="Q14" i="1"/>
  <c r="Q15" i="1"/>
  <c r="Q16" i="1"/>
  <c r="Q17" i="1"/>
  <c r="Q6" i="1"/>
  <c r="Q7" i="1"/>
  <c r="Q8" i="1"/>
  <c r="Q9" i="1"/>
  <c r="Q10" i="1"/>
  <c r="Q11" i="1"/>
  <c r="P18" i="1" l="1"/>
  <c r="O18" i="1"/>
  <c r="M18" i="1"/>
  <c r="L18" i="1"/>
  <c r="J18" i="1"/>
  <c r="I18" i="1"/>
  <c r="G18" i="1"/>
  <c r="F18" i="1"/>
  <c r="E18" i="1"/>
  <c r="D18" i="1"/>
  <c r="C18" i="1"/>
  <c r="B18" i="1"/>
  <c r="K18" i="1"/>
  <c r="H17" i="1"/>
  <c r="H16" i="1"/>
  <c r="H15" i="1"/>
  <c r="H14" i="1"/>
  <c r="H13" i="1"/>
  <c r="H12" i="1"/>
  <c r="H11" i="1"/>
  <c r="H10" i="1"/>
  <c r="H9" i="1"/>
  <c r="H8" i="1"/>
  <c r="H7" i="1"/>
  <c r="N18" i="1"/>
  <c r="H6" i="1"/>
  <c r="Q18" i="1" l="1"/>
  <c r="H18" i="1"/>
</calcChain>
</file>

<file path=xl/sharedStrings.xml><?xml version="1.0" encoding="utf-8"?>
<sst xmlns="http://schemas.openxmlformats.org/spreadsheetml/2006/main" count="26" uniqueCount="24">
  <si>
    <t xml:space="preserve">तालिका - 1.02 (एयर इंडिया एक्सप्रेस) </t>
  </si>
  <si>
    <t>Table 1.02 (AIR INDIA EXPRESS)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</si>
  <si>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</si>
  <si>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</si>
  <si>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</si>
  <si>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</si>
  <si>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</si>
  <si>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</si>
  <si>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</si>
  <si>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</si>
  <si>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</si>
  <si>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</si>
  <si>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</si>
  <si>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</si>
  <si>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</si>
  <si>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</si>
  <si>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</si>
  <si>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</si>
  <si>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</si>
  <si>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</si>
  <si>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</si>
  <si>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</si>
  <si>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2019-20</t>
  </si>
  <si>
    <t>MONTHLY TRAFFIC AND OPERATING STATISTICS OF AIR INDIA EXPRESS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</si>
</sst>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right" vertical="center"/>
    </xf>
    <xf numFmtId="167" fontId="1" fillId="3" borderId="1" xfId="3" applyNumberFormat="1" applyBorder="1" applyAlignment="1">
      <alignment horizontal="right" vertical="center"/>
    </xf>
    <xf numFmtId="164" fontId="0" fillId="3" borderId="1" xfId="3" applyNumberFormat="1" applyFont="1" applyBorder="1" applyAlignment="1">
      <alignment horizontal="right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/>
    </xf>
    <xf numFmtId="167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112" zoomScaleNormal="112" workbookViewId="0">
      <selection activeCell="U6" sqref="U6"/>
    </sheetView>
  </sheetViews>
  <sheetFormatPr defaultRowHeight="15" x14ac:dyDescent="0.25"/>
  <cols>
    <col min="1" max="1" width="8.42578125" customWidth="1"/>
    <col min="2" max="2" width="8" customWidth="1"/>
    <col min="3" max="3" width="9.7109375" customWidth="1"/>
    <col min="4" max="4" width="8" bestFit="1" customWidth="1"/>
    <col min="5" max="5" width="10.7109375" bestFit="1" customWidth="1"/>
    <col min="6" max="6" width="8" bestFit="1" customWidth="1"/>
    <col min="7" max="7" width="8.140625" customWidth="1"/>
    <col min="8" max="8" width="6.42578125" customWidth="1"/>
    <col min="9" max="9" width="10" customWidth="1"/>
    <col min="10" max="10" width="5.42578125" bestFit="1" customWidth="1"/>
    <col min="11" max="11" width="9.7109375" customWidth="1"/>
    <col min="12" max="12" width="8.85546875" customWidth="1"/>
    <col min="13" max="13" width="5.5703125" customWidth="1"/>
    <col min="14" max="14" width="6.85546875" customWidth="1"/>
    <col min="15" max="16" width="8.7109375" customWidth="1"/>
    <col min="17" max="17" width="7" customWidth="1"/>
  </cols>
  <sheetData>
    <row r="1" spans="1:17" ht="1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5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3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5" t="s">
        <v>5</v>
      </c>
      <c r="H4" s="15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5" t="s">
        <v>9</v>
      </c>
      <c r="Q4" s="15" t="s">
        <v>10</v>
      </c>
    </row>
    <row r="5" spans="1:17" ht="115.5" customHeight="1" x14ac:dyDescent="0.25">
      <c r="A5" s="21"/>
      <c r="B5" s="14" t="s">
        <v>11</v>
      </c>
      <c r="C5" s="14" t="s">
        <v>12</v>
      </c>
      <c r="D5" s="14" t="s">
        <v>13</v>
      </c>
      <c r="E5" s="14" t="s">
        <v>14</v>
      </c>
      <c r="F5" s="14" t="s">
        <v>15</v>
      </c>
      <c r="G5" s="16"/>
      <c r="H5" s="16"/>
      <c r="I5" s="14" t="s">
        <v>16</v>
      </c>
      <c r="J5" s="14" t="s">
        <v>17</v>
      </c>
      <c r="K5" s="14" t="s">
        <v>18</v>
      </c>
      <c r="L5" s="14" t="s">
        <v>19</v>
      </c>
      <c r="M5" s="14" t="s">
        <v>20</v>
      </c>
      <c r="N5" s="14" t="s">
        <v>17</v>
      </c>
      <c r="O5" s="14" t="s">
        <v>18</v>
      </c>
      <c r="P5" s="16"/>
      <c r="Q5" s="16"/>
    </row>
    <row r="6" spans="1:17" x14ac:dyDescent="0.25">
      <c r="A6" s="1">
        <v>43556</v>
      </c>
      <c r="B6" s="2">
        <v>2491</v>
      </c>
      <c r="C6" s="2">
        <v>10054.83</v>
      </c>
      <c r="D6" s="2">
        <v>6614.05</v>
      </c>
      <c r="E6" s="2">
        <v>425124</v>
      </c>
      <c r="F6" s="2">
        <v>1119.4139599999999</v>
      </c>
      <c r="G6" s="2">
        <v>1230.2127399999999</v>
      </c>
      <c r="H6" s="3">
        <f t="shared" ref="H6:H18" si="0">F6/G6*100</f>
        <v>90.993526859427575</v>
      </c>
      <c r="I6" s="3">
        <v>1867.9690000000001</v>
      </c>
      <c r="J6" s="3">
        <v>0.94199999999999995</v>
      </c>
      <c r="K6" s="3">
        <v>1868.9110000000001</v>
      </c>
      <c r="L6" s="3">
        <v>101.62459</v>
      </c>
      <c r="M6" s="3">
        <v>5.0818000000000003</v>
      </c>
      <c r="N6" s="4">
        <v>1.9299999999999999E-3</v>
      </c>
      <c r="O6" s="3">
        <v>106.70831999999999</v>
      </c>
      <c r="P6" s="3">
        <v>121.32213</v>
      </c>
      <c r="Q6" s="3">
        <f t="shared" ref="Q6:Q18" si="1">O6/P6*100</f>
        <v>87.954538879262984</v>
      </c>
    </row>
    <row r="7" spans="1:17" x14ac:dyDescent="0.25">
      <c r="A7" s="5">
        <v>43586</v>
      </c>
      <c r="B7" s="6">
        <v>2590</v>
      </c>
      <c r="C7" s="6">
        <v>10415.549999999999</v>
      </c>
      <c r="D7" s="6">
        <v>6868.8409999999994</v>
      </c>
      <c r="E7" s="6">
        <v>427204</v>
      </c>
      <c r="F7" s="6">
        <v>1128.3107090000001</v>
      </c>
      <c r="G7" s="6">
        <v>1277.6044259999999</v>
      </c>
      <c r="H7" s="7">
        <f t="shared" si="0"/>
        <v>88.314558562745631</v>
      </c>
      <c r="I7" s="7">
        <v>1933.4829999999999</v>
      </c>
      <c r="J7" s="7">
        <v>2.2509999999999999</v>
      </c>
      <c r="K7" s="7">
        <v>1935.7339999999999</v>
      </c>
      <c r="L7" s="7">
        <v>98.689730120999997</v>
      </c>
      <c r="M7" s="7">
        <v>5.317525818</v>
      </c>
      <c r="N7" s="8">
        <v>4.4241980000000007E-3</v>
      </c>
      <c r="O7" s="7">
        <v>104.01168013699998</v>
      </c>
      <c r="P7" s="7">
        <v>121.33807330799999</v>
      </c>
      <c r="Q7" s="7">
        <f t="shared" si="1"/>
        <v>85.720563464841462</v>
      </c>
    </row>
    <row r="8" spans="1:17" x14ac:dyDescent="0.25">
      <c r="A8" s="1">
        <v>43617</v>
      </c>
      <c r="B8" s="2">
        <v>2499</v>
      </c>
      <c r="C8" s="2">
        <v>10039.69000000001</v>
      </c>
      <c r="D8" s="2">
        <v>6661.2860000000001</v>
      </c>
      <c r="E8" s="2">
        <v>400611</v>
      </c>
      <c r="F8" s="2">
        <v>1050.243101</v>
      </c>
      <c r="G8" s="2">
        <v>1238.999196</v>
      </c>
      <c r="H8" s="3">
        <f t="shared" si="0"/>
        <v>84.76543845957427</v>
      </c>
      <c r="I8" s="3">
        <v>1775.308</v>
      </c>
      <c r="J8" s="3">
        <v>0.68399999999999994</v>
      </c>
      <c r="K8" s="3">
        <v>1775.992</v>
      </c>
      <c r="L8" s="3">
        <v>94.591704562999993</v>
      </c>
      <c r="M8" s="3">
        <v>4.9780190429999998</v>
      </c>
      <c r="N8" s="9">
        <v>1.39141E-3</v>
      </c>
      <c r="O8" s="3">
        <v>99.571115015999979</v>
      </c>
      <c r="P8" s="3">
        <v>121.491766529</v>
      </c>
      <c r="Q8" s="3">
        <f t="shared" si="1"/>
        <v>81.957088830568964</v>
      </c>
    </row>
    <row r="9" spans="1:17" x14ac:dyDescent="0.25">
      <c r="A9" s="5">
        <v>43647</v>
      </c>
      <c r="B9" s="6">
        <v>2576</v>
      </c>
      <c r="C9" s="6">
        <v>10252.920000000002</v>
      </c>
      <c r="D9" s="6">
        <v>6833.8089999999993</v>
      </c>
      <c r="E9" s="6">
        <v>403628</v>
      </c>
      <c r="F9" s="6">
        <v>1061.4151959999999</v>
      </c>
      <c r="G9" s="6">
        <v>1271.0884739999999</v>
      </c>
      <c r="H9" s="7">
        <f t="shared" si="0"/>
        <v>83.504430864660648</v>
      </c>
      <c r="I9" s="7">
        <v>2002.3920000000001</v>
      </c>
      <c r="J9" s="7">
        <v>0.35499999999999998</v>
      </c>
      <c r="K9" s="7">
        <v>2002.7470000000001</v>
      </c>
      <c r="L9" s="7">
        <v>96.879845605000014</v>
      </c>
      <c r="M9" s="7">
        <v>5.6903742029999993</v>
      </c>
      <c r="N9" s="8">
        <v>7.6250999999999999E-4</v>
      </c>
      <c r="O9" s="7">
        <v>102.57098231800001</v>
      </c>
      <c r="P9" s="7">
        <v>106.68979601999999</v>
      </c>
      <c r="Q9" s="7">
        <f t="shared" si="1"/>
        <v>96.139449267268375</v>
      </c>
    </row>
    <row r="10" spans="1:17" x14ac:dyDescent="0.25">
      <c r="A10" s="1">
        <v>43678</v>
      </c>
      <c r="B10" s="2">
        <v>2603</v>
      </c>
      <c r="C10" s="2">
        <v>10217.090000000013</v>
      </c>
      <c r="D10" s="2">
        <v>6897.8720000000003</v>
      </c>
      <c r="E10" s="2">
        <v>406847</v>
      </c>
      <c r="F10" s="2">
        <v>1073.1558379999999</v>
      </c>
      <c r="G10" s="2">
        <v>1283.0041920000001</v>
      </c>
      <c r="H10" s="3">
        <f t="shared" si="0"/>
        <v>83.643985319106406</v>
      </c>
      <c r="I10" s="3">
        <v>2020.3989999999999</v>
      </c>
      <c r="J10" s="3">
        <v>1.7130000000000001</v>
      </c>
      <c r="K10" s="3">
        <v>2022.1119999999999</v>
      </c>
      <c r="L10" s="3">
        <v>98.449423318000001</v>
      </c>
      <c r="M10" s="3">
        <v>5.701977683</v>
      </c>
      <c r="N10" s="9">
        <v>3.3958959999999998E-3</v>
      </c>
      <c r="O10" s="3">
        <v>104.15479689700001</v>
      </c>
      <c r="P10" s="3">
        <v>109.093147382</v>
      </c>
      <c r="Q10" s="3">
        <f t="shared" si="1"/>
        <v>95.473271599995286</v>
      </c>
    </row>
    <row r="11" spans="1:17" x14ac:dyDescent="0.25">
      <c r="A11" s="5">
        <v>43709</v>
      </c>
      <c r="B11" s="6">
        <v>2501</v>
      </c>
      <c r="C11" s="6">
        <v>9834.4400000000187</v>
      </c>
      <c r="D11" s="6">
        <v>6626.2409999999991</v>
      </c>
      <c r="E11" s="6">
        <v>366519</v>
      </c>
      <c r="F11" s="6">
        <v>971.82789300000002</v>
      </c>
      <c r="G11" s="6">
        <v>1232.480826</v>
      </c>
      <c r="H11" s="7">
        <f t="shared" si="0"/>
        <v>78.851359996735553</v>
      </c>
      <c r="I11" s="7">
        <v>1979.873</v>
      </c>
      <c r="J11" s="7">
        <v>1.4019999999999999</v>
      </c>
      <c r="K11" s="7">
        <v>1981.2750000000001</v>
      </c>
      <c r="L11" s="7">
        <v>88.952611542999989</v>
      </c>
      <c r="M11" s="7">
        <v>5.4973100800000001</v>
      </c>
      <c r="N11" s="8">
        <v>2.7870459999999996E-3</v>
      </c>
      <c r="O11" s="7">
        <v>94.452708668999989</v>
      </c>
      <c r="P11" s="7">
        <v>99.405477135000012</v>
      </c>
      <c r="Q11" s="7">
        <f t="shared" si="1"/>
        <v>95.017610086742209</v>
      </c>
    </row>
    <row r="12" spans="1:17" x14ac:dyDescent="0.25">
      <c r="A12" s="1">
        <v>43739</v>
      </c>
      <c r="B12" s="2">
        <v>2642</v>
      </c>
      <c r="C12" s="2">
        <v>10153.379999999999</v>
      </c>
      <c r="D12" s="2">
        <v>6848.665</v>
      </c>
      <c r="E12" s="2">
        <v>378472</v>
      </c>
      <c r="F12" s="2">
        <v>1002.41896</v>
      </c>
      <c r="G12" s="2">
        <v>1273.85169</v>
      </c>
      <c r="H12" s="3">
        <f t="shared" si="0"/>
        <v>78.691967665403823</v>
      </c>
      <c r="I12" s="3">
        <v>2128.4549999999999</v>
      </c>
      <c r="J12" s="3">
        <v>1.6560000000000001</v>
      </c>
      <c r="K12" s="3">
        <v>2130.1109999999999</v>
      </c>
      <c r="L12" s="3">
        <v>92.856763670000007</v>
      </c>
      <c r="M12" s="3">
        <v>5.856177304</v>
      </c>
      <c r="N12" s="9">
        <v>4.0098599999999996E-3</v>
      </c>
      <c r="O12" s="3">
        <v>98.716950834000002</v>
      </c>
      <c r="P12" s="3">
        <v>124.555109096</v>
      </c>
      <c r="Q12" s="3">
        <f t="shared" si="1"/>
        <v>79.255641579434993</v>
      </c>
    </row>
    <row r="13" spans="1:17" x14ac:dyDescent="0.25">
      <c r="A13" s="5">
        <v>43770</v>
      </c>
      <c r="B13" s="6">
        <v>2512</v>
      </c>
      <c r="C13" s="6">
        <v>9969.49</v>
      </c>
      <c r="D13" s="6">
        <v>6672.4</v>
      </c>
      <c r="E13" s="6">
        <v>391015</v>
      </c>
      <c r="F13" s="6">
        <v>1026.8586809999999</v>
      </c>
      <c r="G13" s="6">
        <v>1241.0663999999999</v>
      </c>
      <c r="H13" s="7">
        <f t="shared" si="0"/>
        <v>82.740027527938878</v>
      </c>
      <c r="I13" s="7">
        <v>1756.1849999999999</v>
      </c>
      <c r="J13" s="7">
        <v>0.55799999999999994</v>
      </c>
      <c r="K13" s="7">
        <v>1756.7429999999999</v>
      </c>
      <c r="L13" s="7">
        <v>92.516959216000004</v>
      </c>
      <c r="M13" s="7">
        <v>4.8189469699999998</v>
      </c>
      <c r="N13" s="8">
        <v>1.513066E-3</v>
      </c>
      <c r="O13" s="7">
        <v>97.337419252000004</v>
      </c>
      <c r="P13" s="7">
        <v>120.174583277</v>
      </c>
      <c r="Q13" s="7">
        <f t="shared" si="1"/>
        <v>80.996677165619303</v>
      </c>
    </row>
    <row r="14" spans="1:17" x14ac:dyDescent="0.25">
      <c r="A14" s="1">
        <v>43800</v>
      </c>
      <c r="B14" s="2">
        <v>2585</v>
      </c>
      <c r="C14" s="2">
        <v>10232.330000000009</v>
      </c>
      <c r="D14" s="2">
        <v>6858.5129999999999</v>
      </c>
      <c r="E14" s="2">
        <v>433537</v>
      </c>
      <c r="F14" s="2">
        <v>1138.7305020000001</v>
      </c>
      <c r="G14" s="2">
        <v>1275.6834180000001</v>
      </c>
      <c r="H14" s="3">
        <f t="shared" si="0"/>
        <v>89.26434928387539</v>
      </c>
      <c r="I14" s="3">
        <v>1788.972</v>
      </c>
      <c r="J14" s="3">
        <v>0.85899999999999999</v>
      </c>
      <c r="K14" s="3">
        <v>1789.8309999999999</v>
      </c>
      <c r="L14" s="3">
        <v>104.02997808400001</v>
      </c>
      <c r="M14" s="3">
        <v>4.9050332230000002</v>
      </c>
      <c r="N14" s="9">
        <v>2.41056E-3</v>
      </c>
      <c r="O14" s="3">
        <v>108.93742186700001</v>
      </c>
      <c r="P14" s="3">
        <v>126.15445451000001</v>
      </c>
      <c r="Q14" s="3">
        <f t="shared" si="1"/>
        <v>86.352417986449112</v>
      </c>
    </row>
    <row r="15" spans="1:17" x14ac:dyDescent="0.25">
      <c r="A15" s="5">
        <v>43831</v>
      </c>
      <c r="B15" s="6">
        <v>2601</v>
      </c>
      <c r="C15" s="6">
        <v>10381.989999999991</v>
      </c>
      <c r="D15" s="6">
        <v>6902.3379999999997</v>
      </c>
      <c r="E15" s="6">
        <v>439962</v>
      </c>
      <c r="F15" s="6">
        <v>1152.5990430000002</v>
      </c>
      <c r="G15" s="6">
        <v>1283.8348679999999</v>
      </c>
      <c r="H15" s="7">
        <f t="shared" si="0"/>
        <v>89.777826707227291</v>
      </c>
      <c r="I15" s="7">
        <v>1881.9459999999997</v>
      </c>
      <c r="J15" s="7">
        <v>0.53800000000000003</v>
      </c>
      <c r="K15" s="7">
        <v>1882.4839999999997</v>
      </c>
      <c r="L15" s="7">
        <v>106.50439162800001</v>
      </c>
      <c r="M15" s="7">
        <v>5.106540894000001</v>
      </c>
      <c r="N15" s="8">
        <v>1.5067559999999999E-3</v>
      </c>
      <c r="O15" s="7">
        <v>111.61243927800002</v>
      </c>
      <c r="P15" s="7">
        <v>127.63550260199999</v>
      </c>
      <c r="Q15" s="7">
        <f t="shared" si="1"/>
        <v>87.446233220889994</v>
      </c>
    </row>
    <row r="16" spans="1:17" x14ac:dyDescent="0.25">
      <c r="A16" s="1">
        <v>43862</v>
      </c>
      <c r="B16" s="2">
        <v>2422</v>
      </c>
      <c r="C16" s="2">
        <v>9557.4200000000146</v>
      </c>
      <c r="D16" s="2">
        <v>6435.5870000000004</v>
      </c>
      <c r="E16" s="2">
        <v>373745</v>
      </c>
      <c r="F16" s="2">
        <v>981.97902699999997</v>
      </c>
      <c r="G16" s="2">
        <v>1197.019182</v>
      </c>
      <c r="H16" s="3">
        <f t="shared" si="0"/>
        <v>82.035362654698048</v>
      </c>
      <c r="I16" s="3">
        <v>2001.556</v>
      </c>
      <c r="J16" s="3">
        <v>0.114</v>
      </c>
      <c r="K16" s="3">
        <v>2001.67</v>
      </c>
      <c r="L16" s="3">
        <v>88.108009413999994</v>
      </c>
      <c r="M16" s="3">
        <v>5.4839970360000008</v>
      </c>
      <c r="N16" s="9">
        <v>2.6197199999999996E-4</v>
      </c>
      <c r="O16" s="3">
        <v>93.592268421999989</v>
      </c>
      <c r="P16" s="3">
        <v>114.71474686699999</v>
      </c>
      <c r="Q16" s="3">
        <f t="shared" si="1"/>
        <v>81.586954579179476</v>
      </c>
    </row>
    <row r="17" spans="1:17" x14ac:dyDescent="0.25">
      <c r="A17" s="5">
        <v>43891</v>
      </c>
      <c r="B17" s="6">
        <v>1509</v>
      </c>
      <c r="C17" s="6">
        <v>5872.3599999999915</v>
      </c>
      <c r="D17" s="6">
        <v>3989.4319999999998</v>
      </c>
      <c r="E17" s="6">
        <v>201498</v>
      </c>
      <c r="F17" s="6">
        <v>535.07170700000006</v>
      </c>
      <c r="G17" s="6">
        <v>742.0343519999999</v>
      </c>
      <c r="H17" s="7">
        <f t="shared" si="0"/>
        <v>72.108751509660578</v>
      </c>
      <c r="I17" s="7">
        <v>1416.348</v>
      </c>
      <c r="J17" s="7">
        <v>3.5000000000000003E-2</v>
      </c>
      <c r="K17" s="7">
        <v>1416.383</v>
      </c>
      <c r="L17" s="7">
        <v>44.756525732</v>
      </c>
      <c r="M17" s="7">
        <v>3.8712768209999999</v>
      </c>
      <c r="N17" s="8">
        <v>8.0394000000000003E-5</v>
      </c>
      <c r="O17" s="7">
        <v>48.627882946999996</v>
      </c>
      <c r="P17" s="7">
        <v>49.376922254</v>
      </c>
      <c r="Q17" s="7">
        <f t="shared" si="1"/>
        <v>98.483017424320479</v>
      </c>
    </row>
    <row r="18" spans="1:17" x14ac:dyDescent="0.25">
      <c r="A18" s="10" t="s">
        <v>22</v>
      </c>
      <c r="B18" s="11">
        <f>SUM(B6:B17)</f>
        <v>29531</v>
      </c>
      <c r="C18" s="11">
        <f t="shared" ref="C18:P18" si="2">SUM(C6:C17)</f>
        <v>116981.49000000005</v>
      </c>
      <c r="D18" s="11">
        <f t="shared" si="2"/>
        <v>78209.034</v>
      </c>
      <c r="E18" s="11">
        <f t="shared" si="2"/>
        <v>4648162</v>
      </c>
      <c r="F18" s="11">
        <f t="shared" si="2"/>
        <v>12242.024616999999</v>
      </c>
      <c r="G18" s="11">
        <f t="shared" si="2"/>
        <v>14546.879764000001</v>
      </c>
      <c r="H18" s="12">
        <f t="shared" si="0"/>
        <v>84.155673351312359</v>
      </c>
      <c r="I18" s="12">
        <f t="shared" si="2"/>
        <v>22552.885999999999</v>
      </c>
      <c r="J18" s="12">
        <f t="shared" si="2"/>
        <v>11.107000000000001</v>
      </c>
      <c r="K18" s="12">
        <f t="shared" si="2"/>
        <v>22563.993000000002</v>
      </c>
      <c r="L18" s="12">
        <f t="shared" si="2"/>
        <v>1107.9605328940002</v>
      </c>
      <c r="M18" s="12">
        <f t="shared" si="2"/>
        <v>62.308979075000003</v>
      </c>
      <c r="N18" s="13">
        <f t="shared" si="2"/>
        <v>2.4473668000000001E-2</v>
      </c>
      <c r="O18" s="12">
        <f t="shared" si="2"/>
        <v>1170.2939856370001</v>
      </c>
      <c r="P18" s="12">
        <f t="shared" si="2"/>
        <v>1341.9517089800001</v>
      </c>
      <c r="Q18" s="12">
        <f t="shared" si="1"/>
        <v>87.208353162464036</v>
      </c>
    </row>
    <row r="19" spans="1:17" ht="15" customHeight="1" x14ac:dyDescent="0.25">
      <c r="A19" s="17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2020-06-09T07:57:30Z</dcterms:created>
  <dcterms:modified xsi:type="dcterms:W3CDTF">2021-09-14T21:04:30Z</dcterms:modified>
</cp:coreProperties>
</file>