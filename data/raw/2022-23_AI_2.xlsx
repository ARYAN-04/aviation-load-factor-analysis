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FFICE\Yearly publication\2022-23\Annual tables 22_23\AIR INDIA\"/>
    </mc:Choice>
  </mc:AlternateContent>
  <bookViews>
    <workbookView showHorizontalScroll="0" showVerticalScroll="0" xWindow="0" yWindow="0" windowWidth="17070" windowHeight="9660"/>
  </bookViews>
  <sheets>
    <sheet name="AIR INDIA " sheetId="1" r:id="rId1"/>
  </sheets>
  <definedNames>
    <definedName name="_xlnm.Print_Area" localSheetId="0">'AIR INDIA 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Q17" i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<sst xmlns="http://schemas.openxmlformats.org/spreadsheetml/2006/main" count="26" uniqueCount="24">
  <si>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</si>
  <si>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</si>
  <si>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</si>
  <si>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</si>
  <si>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</si>
  <si>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</si>
  <si>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</si>
  <si>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</si>
  <si>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</si>
  <si>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</si>
  <si>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</si>
  <si>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</si>
  <si>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</si>
  <si>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</si>
  <si>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</si>
  <si>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</si>
  <si>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</si>
  <si>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</si>
  <si>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</si>
  <si>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AIR INDIA</t>
  </si>
  <si>
    <t>तालिका - 1.02  एयर इंडिया (राष्ट्रीय)</t>
  </si>
  <si>
    <t>2022-23</t>
  </si>
  <si>
    <t>MONTHLY TRAFFIC AND OPERATING STATISTICS OF AIR INDIA ON SCHEDULED INTERNATIONAL SERVICES DURING 2022-23</t>
  </si>
  <si>
    <t xml:space="preserve">Table 1.02 AIR INDIA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</si>
</sst>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0" fontId="6" fillId="4" borderId="1" xfId="3" applyFont="1" applyBorder="1" applyAlignment="1" applyProtection="1">
      <alignment horizontal="center" vertical="center" wrapText="1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7" fontId="3" fillId="4" borderId="1" xfId="3" applyNumberFormat="1" applyBorder="1" applyAlignment="1" applyProtection="1">
      <alignment horizontal="center" vertical="center" wrapText="1"/>
    </xf>
    <xf numFmtId="16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topLeftCell="A4" zoomScaleNormal="100" zoomScaleSheetLayoutView="100" workbookViewId="0">
      <selection activeCell="I5" sqref="I5"/>
    </sheetView>
  </sheetViews>
  <sheetFormatPr defaultColWidth="9.140625" defaultRowHeight="15" x14ac:dyDescent="0.25"/>
  <cols>
    <col min="1" max="1" width="13.5703125" style="1" customWidth="1"/>
    <col min="2" max="2" width="7.85546875" style="1" customWidth="1"/>
    <col min="3" max="3" width="9.5703125" style="1" customWidth="1"/>
    <col min="4" max="4" width="9.28515625" style="1" customWidth="1"/>
    <col min="5" max="5" width="10.28515625" style="1" customWidth="1"/>
    <col min="6" max="6" width="9.85546875" style="1" customWidth="1"/>
    <col min="7" max="7" width="9.140625" style="1" customWidth="1"/>
    <col min="8" max="8" width="6.5703125" style="1" customWidth="1"/>
    <col min="9" max="9" width="11.28515625" style="1" customWidth="1"/>
    <col min="10" max="10" width="7.7109375" style="1" customWidth="1"/>
    <col min="11" max="11" width="11.85546875" style="1" customWidth="1"/>
    <col min="12" max="12" width="7.85546875" style="1" customWidth="1"/>
    <col min="13" max="13" width="7.42578125" style="1" customWidth="1"/>
    <col min="14" max="14" width="5.85546875" style="1" customWidth="1"/>
    <col min="15" max="15" width="8" style="1" customWidth="1"/>
    <col min="16" max="16" width="8.85546875" style="1" customWidth="1"/>
    <col min="17" max="17" width="7.7109375" style="1" customWidth="1"/>
    <col min="18" max="16384" width="9.140625" style="1"/>
  </cols>
  <sheetData>
    <row r="1" spans="1:17" ht="18.75" customHeight="1" x14ac:dyDescent="0.25">
      <c r="A1" s="15" t="s">
        <v>20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8.75" customHeight="1" x14ac:dyDescent="0.25">
      <c r="A2" s="16" t="s">
        <v>23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8.75" customHeight="1" x14ac:dyDescent="0.25">
      <c r="A3" s="18" t="s">
        <v>22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5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2" t="s">
        <v>3</v>
      </c>
      <c r="H4" s="12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2" t="s">
        <v>7</v>
      </c>
      <c r="Q4" s="12" t="s">
        <v>8</v>
      </c>
    </row>
    <row r="5" spans="1:17" ht="128.25" customHeight="1" x14ac:dyDescent="0.25">
      <c r="A5" s="18"/>
      <c r="B5" s="9" t="s">
        <v>9</v>
      </c>
      <c r="C5" s="9" t="s">
        <v>10</v>
      </c>
      <c r="D5" s="9" t="s">
        <v>11</v>
      </c>
      <c r="E5" s="9" t="s">
        <v>12</v>
      </c>
      <c r="F5" s="9" t="s">
        <v>13</v>
      </c>
      <c r="G5" s="13"/>
      <c r="H5" s="13"/>
      <c r="I5" s="9" t="s">
        <v>14</v>
      </c>
      <c r="J5" s="9" t="s">
        <v>15</v>
      </c>
      <c r="K5" s="9" t="s">
        <v>16</v>
      </c>
      <c r="L5" s="9" t="s">
        <v>17</v>
      </c>
      <c r="M5" s="9" t="s">
        <v>18</v>
      </c>
      <c r="N5" s="9" t="s">
        <v>15</v>
      </c>
      <c r="O5" s="9" t="s">
        <v>16</v>
      </c>
      <c r="P5" s="13"/>
      <c r="Q5" s="13"/>
    </row>
    <row r="6" spans="1:17" ht="30" customHeight="1" x14ac:dyDescent="0.25">
      <c r="A6" s="10">
        <v>44652</v>
      </c>
      <c r="B6" s="4">
        <v>2806</v>
      </c>
      <c r="C6" s="4">
        <v>18074.500999999986</v>
      </c>
      <c r="D6" s="4">
        <v>13794.186</v>
      </c>
      <c r="E6" s="4">
        <v>461138</v>
      </c>
      <c r="F6" s="4">
        <v>2709.7386620000002</v>
      </c>
      <c r="G6" s="4">
        <v>3389.5538879999999</v>
      </c>
      <c r="H6" s="5">
        <f t="shared" ref="H6:H18" si="0">F6/G6*100</f>
        <v>79.943814187266881</v>
      </c>
      <c r="I6" s="5">
        <v>9562.2969999999968</v>
      </c>
      <c r="J6" s="5">
        <v>0.99858938100060546</v>
      </c>
      <c r="K6" s="5">
        <v>9563.2955893809976</v>
      </c>
      <c r="L6" s="5">
        <v>287.24620099999999</v>
      </c>
      <c r="M6" s="5">
        <v>56.618533999999997</v>
      </c>
      <c r="N6" s="5">
        <v>4.3302569894925055E-4</v>
      </c>
      <c r="O6" s="5">
        <v>343.86516802569889</v>
      </c>
      <c r="P6" s="5">
        <v>492.83877799999999</v>
      </c>
      <c r="Q6" s="5">
        <f t="shared" ref="Q6:Q18" si="1">O6/P6*100</f>
        <v>69.772344096206425</v>
      </c>
    </row>
    <row r="7" spans="1:17" ht="30" customHeight="1" x14ac:dyDescent="0.25">
      <c r="A7" s="11">
        <v>44682</v>
      </c>
      <c r="B7" s="2">
        <v>2949</v>
      </c>
      <c r="C7" s="2">
        <v>18928.198000000011</v>
      </c>
      <c r="D7" s="2">
        <v>14405.411</v>
      </c>
      <c r="E7" s="2">
        <v>469817</v>
      </c>
      <c r="F7" s="2">
        <v>2732.832316</v>
      </c>
      <c r="G7" s="2">
        <v>3540.7867620000002</v>
      </c>
      <c r="H7" s="3">
        <f t="shared" si="0"/>
        <v>77.181499471500786</v>
      </c>
      <c r="I7" s="3">
        <v>8398.253999999999</v>
      </c>
      <c r="J7" s="3"/>
      <c r="K7" s="3">
        <v>8398.253999999999</v>
      </c>
      <c r="L7" s="3">
        <v>289.66176400000001</v>
      </c>
      <c r="M7" s="3">
        <v>51.894118999999996</v>
      </c>
      <c r="N7" s="3">
        <v>0</v>
      </c>
      <c r="O7" s="3">
        <v>341.55588300000005</v>
      </c>
      <c r="P7" s="3">
        <v>515.410571</v>
      </c>
      <c r="Q7" s="3">
        <f t="shared" si="1"/>
        <v>66.268699599488826</v>
      </c>
    </row>
    <row r="8" spans="1:17" ht="30" customHeight="1" x14ac:dyDescent="0.25">
      <c r="A8" s="10">
        <v>44713</v>
      </c>
      <c r="B8" s="4">
        <v>2844</v>
      </c>
      <c r="C8" s="4">
        <v>18215.033333333318</v>
      </c>
      <c r="D8" s="4">
        <v>13863.182000000001</v>
      </c>
      <c r="E8" s="4">
        <v>483313</v>
      </c>
      <c r="F8" s="4">
        <v>2787.4953250000003</v>
      </c>
      <c r="G8" s="4">
        <v>3401.5417940000002</v>
      </c>
      <c r="H8" s="5">
        <f t="shared" si="0"/>
        <v>81.947995756420809</v>
      </c>
      <c r="I8" s="5">
        <v>8295.5071000000007</v>
      </c>
      <c r="J8" s="5"/>
      <c r="K8" s="5">
        <v>8295.5071000000007</v>
      </c>
      <c r="L8" s="5">
        <v>293.75406257200029</v>
      </c>
      <c r="M8" s="5">
        <v>47.600615747700026</v>
      </c>
      <c r="N8" s="5">
        <v>0</v>
      </c>
      <c r="O8" s="5">
        <v>341.35467831970033</v>
      </c>
      <c r="P8" s="5">
        <v>492.32995665599992</v>
      </c>
      <c r="Q8" s="5">
        <f t="shared" si="1"/>
        <v>69.334533417029348</v>
      </c>
    </row>
    <row r="9" spans="1:17" ht="30" customHeight="1" x14ac:dyDescent="0.25">
      <c r="A9" s="11">
        <v>44743</v>
      </c>
      <c r="B9" s="2">
        <v>3095</v>
      </c>
      <c r="C9" s="2">
        <v>19438.333333333332</v>
      </c>
      <c r="D9" s="2">
        <v>14889.763000000001</v>
      </c>
      <c r="E9" s="2">
        <v>535770</v>
      </c>
      <c r="F9" s="2">
        <v>3058.1030720000003</v>
      </c>
      <c r="G9" s="2">
        <v>3635.26379</v>
      </c>
      <c r="H9" s="3">
        <f t="shared" si="0"/>
        <v>84.123278217452281</v>
      </c>
      <c r="I9" s="3">
        <v>8771.5149999999976</v>
      </c>
      <c r="J9" s="3"/>
      <c r="K9" s="3">
        <v>8771.5149999999976</v>
      </c>
      <c r="L9" s="3">
        <v>321.26676529899993</v>
      </c>
      <c r="M9" s="3">
        <v>50.888025518699983</v>
      </c>
      <c r="N9" s="3">
        <v>0</v>
      </c>
      <c r="O9" s="3">
        <v>372.15479081769985</v>
      </c>
      <c r="P9" s="3">
        <v>525.64614565599993</v>
      </c>
      <c r="Q9" s="3">
        <f t="shared" si="1"/>
        <v>70.799490092951274</v>
      </c>
    </row>
    <row r="10" spans="1:17" ht="30" customHeight="1" x14ac:dyDescent="0.25">
      <c r="A10" s="10">
        <v>44774</v>
      </c>
      <c r="B10" s="4">
        <v>3092</v>
      </c>
      <c r="C10" s="4">
        <v>19447.316666666648</v>
      </c>
      <c r="D10" s="4">
        <v>14875.848</v>
      </c>
      <c r="E10" s="4">
        <v>538562</v>
      </c>
      <c r="F10" s="4">
        <v>3037.7819500000001</v>
      </c>
      <c r="G10" s="4">
        <v>3630.5234500000001</v>
      </c>
      <c r="H10" s="5">
        <f t="shared" si="0"/>
        <v>83.673387373382752</v>
      </c>
      <c r="I10" s="5">
        <v>8576.8304000000007</v>
      </c>
      <c r="J10" s="5"/>
      <c r="K10" s="5">
        <v>8576.8304000000007</v>
      </c>
      <c r="L10" s="5">
        <v>319.30150259600009</v>
      </c>
      <c r="M10" s="5">
        <v>49.880818636099981</v>
      </c>
      <c r="N10" s="5">
        <v>0</v>
      </c>
      <c r="O10" s="5">
        <v>369.18232123210009</v>
      </c>
      <c r="P10" s="5">
        <v>524.67113003600048</v>
      </c>
      <c r="Q10" s="5">
        <f t="shared" si="1"/>
        <v>70.364519810108192</v>
      </c>
    </row>
    <row r="11" spans="1:17" ht="30" customHeight="1" x14ac:dyDescent="0.25">
      <c r="A11" s="11">
        <v>44805</v>
      </c>
      <c r="B11" s="2">
        <v>3002</v>
      </c>
      <c r="C11" s="2">
        <v>19192.115999999998</v>
      </c>
      <c r="D11" s="2">
        <v>14673.105</v>
      </c>
      <c r="E11" s="2">
        <v>534328</v>
      </c>
      <c r="F11" s="2">
        <v>3047.5813360000002</v>
      </c>
      <c r="G11" s="2">
        <v>3621.2522519999998</v>
      </c>
      <c r="H11" s="3">
        <f t="shared" si="0"/>
        <v>84.158217211099725</v>
      </c>
      <c r="I11" s="3">
        <v>8900.8939999999948</v>
      </c>
      <c r="J11" s="3"/>
      <c r="K11" s="3">
        <v>8900.8939999999948</v>
      </c>
      <c r="L11" s="3">
        <v>322.25192499999997</v>
      </c>
      <c r="M11" s="3">
        <v>51.812641000000006</v>
      </c>
      <c r="N11" s="3">
        <v>0</v>
      </c>
      <c r="O11" s="3">
        <v>374.06456600000001</v>
      </c>
      <c r="P11" s="3">
        <v>526.79965200000004</v>
      </c>
      <c r="Q11" s="3">
        <f t="shared" si="1"/>
        <v>71.006988060804559</v>
      </c>
    </row>
    <row r="12" spans="1:17" ht="30" customHeight="1" x14ac:dyDescent="0.25">
      <c r="A12" s="10">
        <v>44835</v>
      </c>
      <c r="B12" s="4">
        <v>3155</v>
      </c>
      <c r="C12" s="4">
        <v>20289.666666666631</v>
      </c>
      <c r="D12" s="4">
        <v>15369.236000000001</v>
      </c>
      <c r="E12" s="4">
        <v>568728</v>
      </c>
      <c r="F12" s="4">
        <v>3170.850128</v>
      </c>
      <c r="G12" s="4">
        <v>3801.894734</v>
      </c>
      <c r="H12" s="5">
        <f t="shared" si="0"/>
        <v>83.401839078903862</v>
      </c>
      <c r="I12" s="5">
        <v>8533.6438999999973</v>
      </c>
      <c r="J12" s="5"/>
      <c r="K12" s="5">
        <v>8533.6438999999973</v>
      </c>
      <c r="L12" s="5">
        <v>332.47039055300053</v>
      </c>
      <c r="M12" s="5">
        <v>50.938772938200003</v>
      </c>
      <c r="N12" s="5">
        <v>0</v>
      </c>
      <c r="O12" s="5">
        <v>383.4091634912005</v>
      </c>
      <c r="P12" s="5">
        <v>552.77838625999959</v>
      </c>
      <c r="Q12" s="5">
        <f t="shared" si="1"/>
        <v>69.360375336901072</v>
      </c>
    </row>
    <row r="13" spans="1:17" ht="30" customHeight="1" x14ac:dyDescent="0.25">
      <c r="A13" s="11">
        <v>44866</v>
      </c>
      <c r="B13" s="2">
        <v>3414</v>
      </c>
      <c r="C13" s="2">
        <v>21624.19999999999</v>
      </c>
      <c r="D13" s="2">
        <v>16098.492</v>
      </c>
      <c r="E13" s="2">
        <v>599741</v>
      </c>
      <c r="F13" s="2">
        <v>3251.5030980000001</v>
      </c>
      <c r="G13" s="2">
        <v>3955.2158319999999</v>
      </c>
      <c r="H13" s="3">
        <f t="shared" si="0"/>
        <v>82.207981463197186</v>
      </c>
      <c r="I13" s="3">
        <v>8337.372800000001</v>
      </c>
      <c r="J13" s="3">
        <v>0</v>
      </c>
      <c r="K13" s="3">
        <v>8337.372800000001</v>
      </c>
      <c r="L13" s="3">
        <v>337.67268101099984</v>
      </c>
      <c r="M13" s="3">
        <v>50.236193754099965</v>
      </c>
      <c r="N13" s="3">
        <v>0</v>
      </c>
      <c r="O13" s="3">
        <v>387.90887476509977</v>
      </c>
      <c r="P13" s="3">
        <v>570.55992765199994</v>
      </c>
      <c r="Q13" s="3">
        <f t="shared" si="1"/>
        <v>67.987402543575755</v>
      </c>
    </row>
    <row r="14" spans="1:17" ht="30" customHeight="1" x14ac:dyDescent="0.25">
      <c r="A14" s="10">
        <v>44896</v>
      </c>
      <c r="B14" s="4">
        <v>3496</v>
      </c>
      <c r="C14" s="4">
        <v>22396.799999999999</v>
      </c>
      <c r="D14" s="4">
        <v>16639.642</v>
      </c>
      <c r="E14" s="4">
        <v>642438</v>
      </c>
      <c r="F14" s="4">
        <v>3533.9935310000001</v>
      </c>
      <c r="G14" s="4">
        <v>4131.4992760000005</v>
      </c>
      <c r="H14" s="5">
        <f t="shared" si="0"/>
        <v>85.537798627463673</v>
      </c>
      <c r="I14" s="5">
        <v>8498.8304999999964</v>
      </c>
      <c r="J14" s="5"/>
      <c r="K14" s="5">
        <v>8498.8304999999964</v>
      </c>
      <c r="L14" s="5">
        <v>368.06893313699999</v>
      </c>
      <c r="M14" s="5">
        <v>52.11172737239999</v>
      </c>
      <c r="N14" s="5">
        <v>0</v>
      </c>
      <c r="O14" s="5">
        <v>420.18066050940001</v>
      </c>
      <c r="P14" s="5">
        <v>597.30528052400075</v>
      </c>
      <c r="Q14" s="5">
        <f t="shared" si="1"/>
        <v>70.346048195118286</v>
      </c>
    </row>
    <row r="15" spans="1:17" ht="30" customHeight="1" x14ac:dyDescent="0.25">
      <c r="A15" s="11">
        <v>44927</v>
      </c>
      <c r="B15" s="2">
        <v>3503</v>
      </c>
      <c r="C15" s="2">
        <v>23025.3</v>
      </c>
      <c r="D15" s="2">
        <v>17147.228999999999</v>
      </c>
      <c r="E15" s="2">
        <v>649594</v>
      </c>
      <c r="F15" s="2">
        <v>3680.7356789999999</v>
      </c>
      <c r="G15" s="2">
        <v>4266.8366239999996</v>
      </c>
      <c r="H15" s="3">
        <f t="shared" si="0"/>
        <v>86.263806265669672</v>
      </c>
      <c r="I15" s="3">
        <v>7773.7900999999965</v>
      </c>
      <c r="J15" s="3">
        <v>418.77739136934991</v>
      </c>
      <c r="K15" s="3">
        <v>8192.5674913693456</v>
      </c>
      <c r="L15" s="3">
        <v>384.9112287449999</v>
      </c>
      <c r="M15" s="3">
        <v>47.731641779099974</v>
      </c>
      <c r="N15" s="3">
        <v>0</v>
      </c>
      <c r="O15" s="3">
        <v>432.64287052409992</v>
      </c>
      <c r="P15" s="3">
        <v>616.84475567999993</v>
      </c>
      <c r="Q15" s="3">
        <f t="shared" si="1"/>
        <v>70.13804795132954</v>
      </c>
    </row>
    <row r="16" spans="1:17" ht="30" customHeight="1" x14ac:dyDescent="0.25">
      <c r="A16" s="10">
        <v>44958</v>
      </c>
      <c r="B16" s="4">
        <v>3220</v>
      </c>
      <c r="C16" s="4">
        <v>21208.51666666667</v>
      </c>
      <c r="D16" s="4">
        <v>15906.712</v>
      </c>
      <c r="E16" s="4">
        <v>599914</v>
      </c>
      <c r="F16" s="4">
        <v>3415.4063220000003</v>
      </c>
      <c r="G16" s="4">
        <v>3973.1604900000002</v>
      </c>
      <c r="H16" s="5">
        <f t="shared" si="0"/>
        <v>85.961952219050687</v>
      </c>
      <c r="I16" s="5">
        <v>8657.5121999999992</v>
      </c>
      <c r="J16" s="5">
        <v>431.26503689404001</v>
      </c>
      <c r="K16" s="5">
        <v>9088.7772368940387</v>
      </c>
      <c r="L16" s="5">
        <v>357.83779317099902</v>
      </c>
      <c r="M16" s="5">
        <v>53.745608984500002</v>
      </c>
      <c r="N16" s="5">
        <v>3.3384892433337106</v>
      </c>
      <c r="O16" s="5">
        <v>414.92189139883271</v>
      </c>
      <c r="P16" s="5">
        <v>573.61795979199997</v>
      </c>
      <c r="Q16" s="5">
        <f t="shared" si="1"/>
        <v>72.334187644558384</v>
      </c>
    </row>
    <row r="17" spans="1:17" ht="30" customHeight="1" x14ac:dyDescent="0.25">
      <c r="A17" s="11">
        <v>44986</v>
      </c>
      <c r="B17" s="2">
        <v>3627</v>
      </c>
      <c r="C17" s="2">
        <v>24038.519999999993</v>
      </c>
      <c r="D17" s="2">
        <v>17941.674999999999</v>
      </c>
      <c r="E17" s="2">
        <v>663040</v>
      </c>
      <c r="F17" s="2">
        <v>3704.4442129999998</v>
      </c>
      <c r="G17" s="2">
        <v>4484.9556059999995</v>
      </c>
      <c r="H17" s="3">
        <f t="shared" si="0"/>
        <v>82.597121096230538</v>
      </c>
      <c r="I17" s="3">
        <v>10134.782999999996</v>
      </c>
      <c r="J17" s="3">
        <v>451.085077016166</v>
      </c>
      <c r="K17" s="3">
        <v>10585.868077016163</v>
      </c>
      <c r="L17" s="3">
        <v>387.62956600000001</v>
      </c>
      <c r="M17" s="3">
        <v>65.822220999999999</v>
      </c>
      <c r="N17" s="3">
        <v>3.444566103512102</v>
      </c>
      <c r="O17" s="3">
        <v>456.89635310351213</v>
      </c>
      <c r="P17" s="3">
        <v>647.58090200000004</v>
      </c>
      <c r="Q17" s="3">
        <f t="shared" si="1"/>
        <v>70.554327913690102</v>
      </c>
    </row>
    <row r="18" spans="1:17" ht="30" customHeight="1" x14ac:dyDescent="0.25">
      <c r="A18" s="6" t="s">
        <v>21</v>
      </c>
      <c r="B18" s="7">
        <f>SUM(B6:B17)</f>
        <v>38203</v>
      </c>
      <c r="C18" s="7">
        <f t="shared" ref="C18:G18" si="2">SUM(C6:C17)</f>
        <v>245878.50166666653</v>
      </c>
      <c r="D18" s="7">
        <f t="shared" si="2"/>
        <v>185604.48099999997</v>
      </c>
      <c r="E18" s="7">
        <f t="shared" si="2"/>
        <v>6746383</v>
      </c>
      <c r="F18" s="7">
        <f t="shared" si="2"/>
        <v>38130.465632000007</v>
      </c>
      <c r="G18" s="7">
        <f t="shared" si="2"/>
        <v>45832.484498000005</v>
      </c>
      <c r="H18" s="8">
        <f t="shared" si="0"/>
        <v>83.195283977380512</v>
      </c>
      <c r="I18" s="8">
        <f>SUM(I6:I17)</f>
        <v>104441.22999999997</v>
      </c>
      <c r="J18" s="8">
        <f t="shared" ref="J18:P18" si="3">SUM(J6:J17)</f>
        <v>1302.1260946605566</v>
      </c>
      <c r="K18" s="8">
        <f t="shared" si="3"/>
        <v>105743.35609466053</v>
      </c>
      <c r="L18" s="8">
        <f t="shared" si="3"/>
        <v>4002.0728130839993</v>
      </c>
      <c r="M18" s="8">
        <f t="shared" si="3"/>
        <v>629.28091973079995</v>
      </c>
      <c r="N18" s="8">
        <f t="shared" si="3"/>
        <v>6.7834883725447614</v>
      </c>
      <c r="O18" s="8">
        <f t="shared" si="3"/>
        <v>4638.1372211873449</v>
      </c>
      <c r="P18" s="8">
        <f t="shared" si="3"/>
        <v>6636.3834452559995</v>
      </c>
      <c r="Q18" s="8">
        <f t="shared" si="1"/>
        <v>69.889530336028187</v>
      </c>
    </row>
    <row r="19" spans="1:17" ht="15" customHeight="1" x14ac:dyDescent="0.25">
      <c r="A19" s="14" t="s">
        <v>19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AIR INDIA </vt:lpstr>
      <vt:lpstr>'AIR INDIA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2022-12-09T06:41:10Z</cp:lastPrinted>
  <dcterms:created xsi:type="dcterms:W3CDTF">2018-10-29T04:00:09Z</dcterms:created>
  <dcterms:modified xsi:type="dcterms:W3CDTF">2023-09-19T09:20:42Z</dcterms:modified>
</cp:coreProperties>
</file>