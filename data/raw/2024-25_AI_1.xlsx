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acer\Desktop\Draft Annual Report 2024-25\01 Airline Wise Air Transport Operating and Traffic Statistics\AIR INDIA\"/>
    </mc:Choice>
  </mc:AlternateContent>
  <bookViews>
    <workbookView xWindow="0" yWindow="0" windowWidth="17070" windowHeight="9660"/>
  </bookViews>
  <sheets>
    <sheet name="AIR INDIA" sheetId="2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P18" i="2" l="1"/>
  <c r="O18" i="2"/>
  <c r="N18" i="2"/>
  <c r="M18" i="2"/>
  <c r="L18" i="2"/>
  <c r="K18" i="2"/>
  <c r="J18" i="2"/>
  <c r="I18" i="2"/>
  <c r="G18" i="2"/>
  <c r="F18" i="2"/>
  <c r="E18" i="2"/>
  <c r="D18" i="2"/>
  <c r="C18" i="2"/>
  <c r="B18" i="2"/>
  <c r="Q17" i="2"/>
  <c r="Q16" i="2"/>
  <c r="Q15" i="2"/>
  <c r="Q14" i="2"/>
  <c r="Q13" i="2"/>
  <c r="Q12" i="2"/>
  <c r="Q11" i="2"/>
  <c r="Q10" i="2"/>
  <c r="Q9" i="2"/>
  <c r="Q8" i="2"/>
  <c r="Q7" i="2"/>
  <c r="Q6" i="2"/>
  <c r="H17" i="2"/>
  <c r="H16" i="2"/>
  <c r="H15" i="2"/>
  <c r="H14" i="2"/>
  <c r="H13" i="2"/>
  <c r="H12" i="2"/>
  <c r="H11" i="2"/>
  <c r="H10" i="2"/>
  <c r="H9" i="2"/>
  <c r="H8" i="2"/>
  <c r="H7" i="2"/>
  <c r="H6" i="2"/>
  <c r="Q18" i="2" l="1"/>
  <c r="H18" i="2"/>
</calcChain>
</file>

<file path=xl/sharedStrings.xml><?xml version="1.0" encoding="utf-8"?>
<sst xmlns="http://schemas.openxmlformats.org/spreadsheetml/2006/main" count="26" uniqueCount="24">
  <si>
    <t>MONTH</t>
  </si>
  <si>
    <t>AIRCRAFT FLOWN</t>
  </si>
  <si>
    <t xml:space="preserve">    PASSENGERS</t>
  </si>
  <si>
    <t>AVAILABLE SEAT KILOMETERS (MILLION)</t>
  </si>
  <si>
    <t xml:space="preserve"> PAX. LOAD FACTOR (%)</t>
  </si>
  <si>
    <t xml:space="preserve"> CARGO CARRIED (TON)</t>
  </si>
  <si>
    <t xml:space="preserve">    TON  KMS. PERFORMED (MILLION)</t>
  </si>
  <si>
    <t>AVAILABLE TONNE KILOMETERS (MILLION)</t>
  </si>
  <si>
    <t xml:space="preserve"> WEIGHT LOAD FACTOR (%)</t>
  </si>
  <si>
    <t>DEPARTURES (NOS.)</t>
  </si>
  <si>
    <t>HOURS (NOS.)</t>
  </si>
  <si>
    <t xml:space="preserve">  KMS. (THOUSANDS)</t>
  </si>
  <si>
    <t>CARRIED (NOS.)</t>
  </si>
  <si>
    <t>KMS.PERFORMED (MILLION)</t>
  </si>
  <si>
    <t xml:space="preserve"> FREIGHT </t>
  </si>
  <si>
    <t xml:space="preserve"> MAIL</t>
  </si>
  <si>
    <t xml:space="preserve"> TOTAL</t>
  </si>
  <si>
    <t xml:space="preserve"> PAX.</t>
  </si>
  <si>
    <t>FREIGHT</t>
  </si>
  <si>
    <t>SOURCE:-  ICAO ATR FORM 'A' FURNISHED BY AIR INDIA</t>
  </si>
  <si>
    <t xml:space="preserve">Table 1.01 AIR INDIA </t>
  </si>
  <si>
    <t>MONTHLY TRAFFIC AND OPERATING STATISTICS OF AIR INDIA ON SCHEDULED DOMESTIC SERVICES DURING 2024-25</t>
  </si>
  <si>
    <t>2024-25</t>
  </si>
  <si>
    <t xml:space="preserve">तालिका 1.01 एयर इंडिया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</si>
</sst>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5">
    <numFmt numFmtId="164" formatCode="_(* #,##0.00_);_(* \(#,##0.00\);_(* &quot;-&quot;??_);_(@_)"/>
    <numFmt numFmtId="165" formatCode="_(* #,##0_);_(* \(#,##0\);_(* &quot;-&quot;??_);_(@_)"/>
    <numFmt numFmtId="166" formatCode="_(* #,##0.0_);_(* \(#,##0.0\);_(* &quot;-&quot;??_);_(@_)"/>
    <numFmt numFmtId="167" formatCode="#,##0.0"/>
    <numFmt numFmtId="168" formatCode="[$-409]mmm/yy;@"/>
  </numFmts>
  <fonts count="6" x14ac:knownFonts="1">
    <font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5"/>
      </patternFill>
    </fill>
    <fill>
      <patternFill patternType="solid">
        <fgColor theme="5" tint="0.59999389629810485"/>
        <bgColor indexed="65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164" fontId="3" fillId="0" borderId="0" applyFont="0" applyFill="0" applyBorder="0" applyAlignment="0" applyProtection="0"/>
    <xf numFmtId="0" fontId="5" fillId="3" borderId="0" applyNumberFormat="0" applyBorder="0" applyAlignment="0" applyProtection="0"/>
    <xf numFmtId="0" fontId="3" fillId="4" borderId="0" applyNumberFormat="0" applyBorder="0" applyAlignment="0" applyProtection="0"/>
  </cellStyleXfs>
  <cellXfs count="22">
    <xf numFmtId="0" fontId="0" fillId="0" borderId="0" xfId="0"/>
    <xf numFmtId="0" fontId="0" fillId="0" borderId="0" xfId="0" applyFont="1"/>
    <xf numFmtId="0" fontId="2" fillId="3" borderId="1" xfId="2" applyFont="1" applyBorder="1" applyAlignment="1" applyProtection="1">
      <alignment horizontal="center" vertical="center" textRotation="90" wrapText="1"/>
    </xf>
    <xf numFmtId="165" fontId="3" fillId="4" borderId="1" xfId="3" applyNumberFormat="1" applyBorder="1" applyAlignment="1">
      <alignment horizontal="right" vertical="top"/>
    </xf>
    <xf numFmtId="166" fontId="3" fillId="4" borderId="1" xfId="3" applyNumberFormat="1" applyBorder="1" applyAlignment="1">
      <alignment horizontal="right" vertical="top"/>
    </xf>
    <xf numFmtId="165" fontId="0" fillId="0" borderId="1" xfId="1" applyNumberFormat="1" applyFont="1" applyBorder="1" applyAlignment="1">
      <alignment horizontal="right" vertical="top"/>
    </xf>
    <xf numFmtId="166" fontId="0" fillId="0" borderId="1" xfId="1" applyNumberFormat="1" applyFont="1" applyBorder="1" applyAlignment="1">
      <alignment horizontal="right" vertical="top"/>
    </xf>
    <xf numFmtId="0" fontId="4" fillId="4" borderId="1" xfId="3" applyFont="1" applyBorder="1" applyAlignment="1" applyProtection="1">
      <alignment horizontal="center" vertical="top" wrapText="1"/>
    </xf>
    <xf numFmtId="3" fontId="4" fillId="4" borderId="1" xfId="3" applyNumberFormat="1" applyFont="1" applyBorder="1" applyAlignment="1" applyProtection="1">
      <alignment horizontal="right" vertical="top" wrapText="1"/>
    </xf>
    <xf numFmtId="167" fontId="4" fillId="4" borderId="1" xfId="3" applyNumberFormat="1" applyFont="1" applyBorder="1" applyAlignment="1" applyProtection="1">
      <alignment horizontal="right" vertical="top" wrapText="1"/>
    </xf>
    <xf numFmtId="166" fontId="2" fillId="4" borderId="1" xfId="3" applyNumberFormat="1" applyFont="1" applyBorder="1" applyAlignment="1">
      <alignment horizontal="right" vertical="top"/>
    </xf>
    <xf numFmtId="166" fontId="2" fillId="0" borderId="1" xfId="1" applyNumberFormat="1" applyFont="1" applyBorder="1" applyAlignment="1">
      <alignment horizontal="right" vertical="top"/>
    </xf>
    <xf numFmtId="168" fontId="3" fillId="4" borderId="1" xfId="3" applyNumberFormat="1" applyFont="1" applyBorder="1" applyAlignment="1" applyProtection="1">
      <alignment horizontal="center" vertical="top" wrapText="1"/>
    </xf>
    <xf numFmtId="168" fontId="2" fillId="2" borderId="1" xfId="0" applyNumberFormat="1" applyFont="1" applyFill="1" applyBorder="1" applyAlignment="1" applyProtection="1">
      <alignment horizontal="center" vertical="top" wrapText="1"/>
    </xf>
    <xf numFmtId="0" fontId="2" fillId="3" borderId="1" xfId="2" applyFont="1" applyBorder="1" applyAlignment="1" applyProtection="1">
      <alignment horizontal="center" vertical="center" textRotation="90" wrapText="1"/>
    </xf>
    <xf numFmtId="0" fontId="2" fillId="3" borderId="1" xfId="2" applyFont="1" applyBorder="1" applyAlignment="1">
      <alignment textRotation="90"/>
    </xf>
    <xf numFmtId="0" fontId="1" fillId="2" borderId="1" xfId="0" applyFont="1" applyFill="1" applyBorder="1" applyAlignment="1" applyProtection="1">
      <alignment horizontal="left" vertical="center" wrapText="1"/>
    </xf>
    <xf numFmtId="0" fontId="2" fillId="4" borderId="1" xfId="3" applyFont="1" applyBorder="1" applyAlignment="1">
      <alignment horizontal="center" vertical="center" wrapText="1"/>
    </xf>
    <xf numFmtId="0" fontId="2" fillId="4" borderId="1" xfId="3" quotePrefix="1" applyFont="1" applyBorder="1" applyAlignment="1" applyProtection="1">
      <alignment horizontal="center" vertical="center" wrapText="1"/>
    </xf>
    <xf numFmtId="0" fontId="2" fillId="4" borderId="1" xfId="3" applyFont="1" applyBorder="1"/>
    <xf numFmtId="0" fontId="2" fillId="3" borderId="1" xfId="2" applyFont="1" applyBorder="1" applyAlignment="1" applyProtection="1">
      <alignment horizontal="center" vertical="center" wrapText="1"/>
    </xf>
    <xf numFmtId="0" fontId="2" fillId="3" borderId="1" xfId="2" applyFont="1" applyBorder="1"/>
  </cellXfs>
  <cellStyles count="4">
    <cellStyle name="40% - Accent2" xfId="3" builtinId="35"/>
    <cellStyle name="Accent2" xfId="2" builtinId="33"/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Q19"/>
  <sheetViews>
    <sheetView tabSelected="1" view="pageBreakPreview" zoomScale="145" zoomScaleNormal="118" zoomScaleSheetLayoutView="145" workbookViewId="0">
      <selection activeCell="A3" sqref="A3:Q3"/>
    </sheetView>
  </sheetViews>
  <sheetFormatPr defaultColWidth="9.140625" defaultRowHeight="15" x14ac:dyDescent="0.25"/>
  <cols>
    <col min="1" max="1" width="13.85546875" style="1" customWidth="1"/>
    <col min="2" max="2" width="10.140625" style="1" customWidth="1"/>
    <col min="3" max="3" width="10" style="1" customWidth="1"/>
    <col min="4" max="4" width="9.85546875" style="1" customWidth="1"/>
    <col min="5" max="5" width="12" style="1" customWidth="1"/>
    <col min="6" max="6" width="8.42578125" style="1" customWidth="1"/>
    <col min="7" max="7" width="8.7109375" style="1" customWidth="1"/>
    <col min="8" max="8" width="7.28515625" style="1" customWidth="1"/>
    <col min="9" max="9" width="10" style="1" customWidth="1"/>
    <col min="10" max="10" width="8.7109375" style="1" customWidth="1"/>
    <col min="11" max="11" width="10" style="1" customWidth="1"/>
    <col min="12" max="12" width="9.7109375" style="1" customWidth="1"/>
    <col min="13" max="13" width="7.85546875" style="1" customWidth="1"/>
    <col min="14" max="14" width="8.5703125" style="1" customWidth="1"/>
    <col min="15" max="15" width="10.140625" style="1" customWidth="1"/>
    <col min="16" max="16" width="11" style="1" customWidth="1"/>
    <col min="17" max="17" width="8.7109375" style="1" customWidth="1"/>
    <col min="18" max="16384" width="9.140625" style="1"/>
  </cols>
  <sheetData>
    <row r="1" spans="1:17" ht="15" customHeight="1" x14ac:dyDescent="0.25">
      <c r="A1" s="17" t="s">
        <v>23</v>
      </c>
      <c r="B1" s="17"/>
      <c r="C1" s="17"/>
      <c r="D1" s="17"/>
      <c r="E1" s="17"/>
      <c r="F1" s="17"/>
      <c r="G1" s="17"/>
      <c r="H1" s="17"/>
      <c r="I1" s="17"/>
      <c r="J1" s="17"/>
      <c r="K1" s="17"/>
      <c r="L1" s="17"/>
      <c r="M1" s="17"/>
      <c r="N1" s="17"/>
      <c r="O1" s="17"/>
      <c r="P1" s="17"/>
      <c r="Q1" s="17"/>
    </row>
    <row r="2" spans="1:17" ht="15" customHeight="1" x14ac:dyDescent="0.25">
      <c r="A2" s="18" t="s">
        <v>20</v>
      </c>
      <c r="B2" s="19"/>
      <c r="C2" s="19"/>
      <c r="D2" s="19"/>
      <c r="E2" s="19"/>
      <c r="F2" s="19"/>
      <c r="G2" s="19"/>
      <c r="H2" s="19"/>
      <c r="I2" s="19"/>
      <c r="J2" s="19"/>
      <c r="K2" s="19"/>
      <c r="L2" s="19"/>
      <c r="M2" s="19"/>
      <c r="N2" s="19"/>
      <c r="O2" s="19"/>
      <c r="P2" s="19"/>
      <c r="Q2" s="19"/>
    </row>
    <row r="3" spans="1:17" ht="15" customHeight="1" x14ac:dyDescent="0.25">
      <c r="A3" s="20" t="s">
        <v>21</v>
      </c>
      <c r="B3" s="21"/>
      <c r="C3" s="21"/>
      <c r="D3" s="21"/>
      <c r="E3" s="21"/>
      <c r="F3" s="21"/>
      <c r="G3" s="21"/>
      <c r="H3" s="21"/>
      <c r="I3" s="21"/>
      <c r="J3" s="21"/>
      <c r="K3" s="21"/>
      <c r="L3" s="21"/>
      <c r="M3" s="21"/>
      <c r="N3" s="21"/>
      <c r="O3" s="21"/>
      <c r="P3" s="21"/>
      <c r="Q3" s="21"/>
    </row>
    <row r="4" spans="1:17" ht="30" customHeight="1" x14ac:dyDescent="0.25">
      <c r="A4" s="20" t="s">
        <v>0</v>
      </c>
      <c r="B4" s="20" t="s">
        <v>1</v>
      </c>
      <c r="C4" s="20"/>
      <c r="D4" s="20"/>
      <c r="E4" s="20" t="s">
        <v>2</v>
      </c>
      <c r="F4" s="21"/>
      <c r="G4" s="14" t="s">
        <v>3</v>
      </c>
      <c r="H4" s="14" t="s">
        <v>4</v>
      </c>
      <c r="I4" s="20" t="s">
        <v>5</v>
      </c>
      <c r="J4" s="20"/>
      <c r="K4" s="20"/>
      <c r="L4" s="20" t="s">
        <v>6</v>
      </c>
      <c r="M4" s="20"/>
      <c r="N4" s="20"/>
      <c r="O4" s="20"/>
      <c r="P4" s="14" t="s">
        <v>7</v>
      </c>
      <c r="Q4" s="14" t="s">
        <v>8</v>
      </c>
    </row>
    <row r="5" spans="1:17" ht="115.5" customHeight="1" x14ac:dyDescent="0.25">
      <c r="A5" s="20"/>
      <c r="B5" s="2" t="s">
        <v>9</v>
      </c>
      <c r="C5" s="2" t="s">
        <v>10</v>
      </c>
      <c r="D5" s="2" t="s">
        <v>11</v>
      </c>
      <c r="E5" s="2" t="s">
        <v>12</v>
      </c>
      <c r="F5" s="2" t="s">
        <v>13</v>
      </c>
      <c r="G5" s="15"/>
      <c r="H5" s="15"/>
      <c r="I5" s="2" t="s">
        <v>14</v>
      </c>
      <c r="J5" s="2" t="s">
        <v>15</v>
      </c>
      <c r="K5" s="2" t="s">
        <v>16</v>
      </c>
      <c r="L5" s="2" t="s">
        <v>17</v>
      </c>
      <c r="M5" s="2" t="s">
        <v>18</v>
      </c>
      <c r="N5" s="2" t="s">
        <v>15</v>
      </c>
      <c r="O5" s="2" t="s">
        <v>16</v>
      </c>
      <c r="P5" s="15"/>
      <c r="Q5" s="15"/>
    </row>
    <row r="6" spans="1:17" x14ac:dyDescent="0.25">
      <c r="A6" s="12">
        <v>45383</v>
      </c>
      <c r="B6" s="3">
        <v>9400</v>
      </c>
      <c r="C6" s="3">
        <v>18099.135000000017</v>
      </c>
      <c r="D6" s="3">
        <v>9846.0470000000005</v>
      </c>
      <c r="E6" s="3">
        <v>1458158</v>
      </c>
      <c r="F6" s="3">
        <v>1405.515443</v>
      </c>
      <c r="G6" s="3">
        <v>1654.1684420000001</v>
      </c>
      <c r="H6" s="4">
        <f t="shared" ref="H6:H18" si="0">F6/G6*100</f>
        <v>84.968096797968045</v>
      </c>
      <c r="I6" s="10">
        <v>7261.6950000000097</v>
      </c>
      <c r="J6" s="10">
        <v>563.09301330000267</v>
      </c>
      <c r="K6" s="10">
        <v>7824.7880133000126</v>
      </c>
      <c r="L6" s="4">
        <v>140.83832949999993</v>
      </c>
      <c r="M6" s="4">
        <v>8.9023848551000064</v>
      </c>
      <c r="N6" s="4">
        <v>0.56014459300320862</v>
      </c>
      <c r="O6" s="4">
        <v>150.30085894810315</v>
      </c>
      <c r="P6" s="4">
        <v>179.966669</v>
      </c>
      <c r="Q6" s="4">
        <f t="shared" ref="Q6:Q18" si="1">O6/P6*100</f>
        <v>83.515942025966567</v>
      </c>
    </row>
    <row r="7" spans="1:17" x14ac:dyDescent="0.25">
      <c r="A7" s="13">
        <v>45413</v>
      </c>
      <c r="B7" s="5">
        <v>9761</v>
      </c>
      <c r="C7" s="5">
        <v>18717.600000000068</v>
      </c>
      <c r="D7" s="5">
        <v>10128.991</v>
      </c>
      <c r="E7" s="5">
        <v>1564289</v>
      </c>
      <c r="F7" s="5">
        <v>1533.8425810000001</v>
      </c>
      <c r="G7" s="5">
        <v>1751.0778700000001</v>
      </c>
      <c r="H7" s="6">
        <f t="shared" si="0"/>
        <v>87.594195967995418</v>
      </c>
      <c r="I7" s="11">
        <v>8393.4794999999922</v>
      </c>
      <c r="J7" s="11">
        <v>380.67816849118816</v>
      </c>
      <c r="K7" s="11">
        <v>8774.1576684911797</v>
      </c>
      <c r="L7" s="6">
        <v>153.38435209999977</v>
      </c>
      <c r="M7" s="6">
        <v>10.445064799100004</v>
      </c>
      <c r="N7" s="6">
        <v>0.39601681624294222</v>
      </c>
      <c r="O7" s="6">
        <v>164.22543371534275</v>
      </c>
      <c r="P7" s="6">
        <v>207.59839199999999</v>
      </c>
      <c r="Q7" s="6">
        <f t="shared" si="1"/>
        <v>79.107276377816433</v>
      </c>
    </row>
    <row r="8" spans="1:17" x14ac:dyDescent="0.25">
      <c r="A8" s="12">
        <v>45444</v>
      </c>
      <c r="B8" s="3">
        <v>9752</v>
      </c>
      <c r="C8" s="3">
        <v>19034.904000000017</v>
      </c>
      <c r="D8" s="3">
        <v>10140.076999999999</v>
      </c>
      <c r="E8" s="3">
        <v>1498868</v>
      </c>
      <c r="F8" s="3">
        <v>1477.1674089999999</v>
      </c>
      <c r="G8" s="3">
        <v>1754.472726</v>
      </c>
      <c r="H8" s="4">
        <f t="shared" si="0"/>
        <v>84.194378579356723</v>
      </c>
      <c r="I8" s="10">
        <v>8261.212499999996</v>
      </c>
      <c r="J8" s="10">
        <v>434.94752785613235</v>
      </c>
      <c r="K8" s="10">
        <v>8696.1600278561291</v>
      </c>
      <c r="L8" s="4">
        <v>147.71674089999991</v>
      </c>
      <c r="M8" s="4">
        <v>10.283590896399982</v>
      </c>
      <c r="N8" s="4">
        <v>0.48567949498009172</v>
      </c>
      <c r="O8" s="4">
        <v>158.48601129137998</v>
      </c>
      <c r="P8" s="4">
        <v>175.28217416000047</v>
      </c>
      <c r="Q8" s="4">
        <f t="shared" si="1"/>
        <v>90.417643465964389</v>
      </c>
    </row>
    <row r="9" spans="1:17" x14ac:dyDescent="0.25">
      <c r="A9" s="13">
        <v>45474</v>
      </c>
      <c r="B9" s="5">
        <v>10253</v>
      </c>
      <c r="C9" s="5">
        <v>20433.04700000001</v>
      </c>
      <c r="D9" s="5">
        <v>10590.406000000001</v>
      </c>
      <c r="E9" s="5">
        <v>1542638</v>
      </c>
      <c r="F9" s="5">
        <v>1524.2102960000002</v>
      </c>
      <c r="G9" s="5">
        <v>1852.261342</v>
      </c>
      <c r="H9" s="6">
        <f t="shared" si="0"/>
        <v>82.289159819867379</v>
      </c>
      <c r="I9" s="11">
        <v>9693.4956999999977</v>
      </c>
      <c r="J9" s="11">
        <v>256.71072087575573</v>
      </c>
      <c r="K9" s="11">
        <v>9950.2064208757529</v>
      </c>
      <c r="L9" s="6">
        <v>152.42102959999994</v>
      </c>
      <c r="M9" s="6">
        <v>12.3511209408</v>
      </c>
      <c r="N9" s="6">
        <v>0.28011246898536801</v>
      </c>
      <c r="O9" s="6">
        <v>165.05226300978532</v>
      </c>
      <c r="P9" s="6">
        <v>180.72152205000029</v>
      </c>
      <c r="Q9" s="6">
        <f t="shared" si="1"/>
        <v>91.329610960292968</v>
      </c>
    </row>
    <row r="10" spans="1:17" x14ac:dyDescent="0.25">
      <c r="A10" s="12">
        <v>45505</v>
      </c>
      <c r="B10" s="3">
        <v>10289</v>
      </c>
      <c r="C10" s="3">
        <v>20390.499</v>
      </c>
      <c r="D10" s="3">
        <v>10753.269</v>
      </c>
      <c r="E10" s="3">
        <v>1521012</v>
      </c>
      <c r="F10" s="3">
        <v>1514.3113700000001</v>
      </c>
      <c r="G10" s="3">
        <v>1868.0720660000002</v>
      </c>
      <c r="H10" s="4">
        <f t="shared" si="0"/>
        <v>81.06279182486314</v>
      </c>
      <c r="I10" s="10">
        <v>9347.599400000001</v>
      </c>
      <c r="J10" s="10">
        <v>214.35460213059903</v>
      </c>
      <c r="K10" s="10">
        <v>9561.9540021306002</v>
      </c>
      <c r="L10" s="4">
        <v>151.43113699999981</v>
      </c>
      <c r="M10" s="4">
        <v>11.832943532799987</v>
      </c>
      <c r="N10" s="4">
        <v>0.21175164570122221</v>
      </c>
      <c r="O10" s="4">
        <v>163.47583217850101</v>
      </c>
      <c r="P10" s="4">
        <v>179.29588225000018</v>
      </c>
      <c r="Q10" s="4">
        <f t="shared" si="1"/>
        <v>91.176568099070693</v>
      </c>
    </row>
    <row r="11" spans="1:17" x14ac:dyDescent="0.25">
      <c r="A11" s="13">
        <v>45536</v>
      </c>
      <c r="B11" s="5">
        <v>9851</v>
      </c>
      <c r="C11" s="5">
        <v>19624.696000000007</v>
      </c>
      <c r="D11" s="5">
        <v>10412.698</v>
      </c>
      <c r="E11" s="5">
        <v>1451744</v>
      </c>
      <c r="F11" s="5">
        <v>1469.5596419999999</v>
      </c>
      <c r="G11" s="5">
        <v>1808.376714</v>
      </c>
      <c r="H11" s="6">
        <f t="shared" si="0"/>
        <v>81.264021518472177</v>
      </c>
      <c r="I11" s="11">
        <v>9181.648899999991</v>
      </c>
      <c r="J11" s="11">
        <v>53.388147662270008</v>
      </c>
      <c r="K11" s="11">
        <v>9235.0370476622611</v>
      </c>
      <c r="L11" s="6">
        <v>133.02051792999998</v>
      </c>
      <c r="M11" s="6">
        <v>11.71480314110004</v>
      </c>
      <c r="N11" s="6">
        <v>4.8810145725418017E-2</v>
      </c>
      <c r="O11" s="6">
        <v>144.78413121682541</v>
      </c>
      <c r="P11" s="6">
        <v>171.55711300999968</v>
      </c>
      <c r="Q11" s="6">
        <f t="shared" si="1"/>
        <v>84.394128973472675</v>
      </c>
    </row>
    <row r="12" spans="1:17" x14ac:dyDescent="0.25">
      <c r="A12" s="12">
        <v>45566</v>
      </c>
      <c r="B12" s="3">
        <v>10121</v>
      </c>
      <c r="C12" s="3">
        <v>20001.328000000023</v>
      </c>
      <c r="D12" s="3">
        <v>10607.367</v>
      </c>
      <c r="E12" s="3">
        <v>1471093</v>
      </c>
      <c r="F12" s="3">
        <v>1482.2864539999998</v>
      </c>
      <c r="G12" s="3">
        <v>1846.1754599999999</v>
      </c>
      <c r="H12" s="4">
        <f t="shared" si="0"/>
        <v>80.289576268119163</v>
      </c>
      <c r="I12" s="10">
        <v>11226.876199999999</v>
      </c>
      <c r="J12" s="10">
        <v>5.1670051020399939</v>
      </c>
      <c r="K12" s="10">
        <v>11232.043205102038</v>
      </c>
      <c r="L12" s="4">
        <v>133.78878792000006</v>
      </c>
      <c r="M12" s="4">
        <v>14.190387845500016</v>
      </c>
      <c r="N12" s="4">
        <v>4.8786668571422411E-3</v>
      </c>
      <c r="O12" s="4">
        <v>147.98405443235723</v>
      </c>
      <c r="P12" s="4">
        <v>176.6757554999995</v>
      </c>
      <c r="Q12" s="4">
        <f t="shared" si="1"/>
        <v>83.760249963871047</v>
      </c>
    </row>
    <row r="13" spans="1:17" x14ac:dyDescent="0.25">
      <c r="A13" s="13">
        <v>45597</v>
      </c>
      <c r="B13" s="5">
        <v>14897</v>
      </c>
      <c r="C13" s="5">
        <v>30176.159000000112</v>
      </c>
      <c r="D13" s="5">
        <v>16119.726000000001</v>
      </c>
      <c r="E13" s="5">
        <v>2251104</v>
      </c>
      <c r="F13" s="5">
        <v>2345.5621809999998</v>
      </c>
      <c r="G13" s="5">
        <v>2694.2164360000002</v>
      </c>
      <c r="H13" s="6">
        <f t="shared" si="0"/>
        <v>87.059159377795424</v>
      </c>
      <c r="I13" s="11">
        <v>10854.092100000013</v>
      </c>
      <c r="J13" s="11">
        <v>708.06477000000007</v>
      </c>
      <c r="K13" s="11">
        <v>11562.156870000013</v>
      </c>
      <c r="L13" s="6">
        <v>213.96200561600054</v>
      </c>
      <c r="M13" s="6">
        <v>13.812396781400004</v>
      </c>
      <c r="N13" s="6">
        <v>0.73248313231999873</v>
      </c>
      <c r="O13" s="6">
        <v>228.50688552972051</v>
      </c>
      <c r="P13" s="6">
        <v>254.91865007499956</v>
      </c>
      <c r="Q13" s="6">
        <f t="shared" si="1"/>
        <v>89.639139961902174</v>
      </c>
    </row>
    <row r="14" spans="1:17" x14ac:dyDescent="0.25">
      <c r="A14" s="12">
        <v>45627</v>
      </c>
      <c r="B14" s="3">
        <v>17960</v>
      </c>
      <c r="C14" s="3">
        <v>36808.505000000019</v>
      </c>
      <c r="D14" s="3">
        <v>18855.671999999999</v>
      </c>
      <c r="E14" s="3">
        <v>2604182</v>
      </c>
      <c r="F14" s="3">
        <v>2756.8656490000003</v>
      </c>
      <c r="G14" s="3">
        <v>3293.1176820000001</v>
      </c>
      <c r="H14" s="4">
        <f t="shared" si="0"/>
        <v>83.715977235459164</v>
      </c>
      <c r="I14" s="10">
        <v>13136.57140000001</v>
      </c>
      <c r="J14" s="10">
        <v>757.74806999999669</v>
      </c>
      <c r="K14" s="10">
        <v>13894.319470000006</v>
      </c>
      <c r="L14" s="4">
        <v>249.07307732999996</v>
      </c>
      <c r="M14" s="4">
        <v>17.026314167400013</v>
      </c>
      <c r="N14" s="4">
        <v>0.76746571850999634</v>
      </c>
      <c r="O14" s="4">
        <v>266.86685721590999</v>
      </c>
      <c r="P14" s="4">
        <v>309.31912994999942</v>
      </c>
      <c r="Q14" s="4">
        <f t="shared" si="1"/>
        <v>86.275574762882684</v>
      </c>
    </row>
    <row r="15" spans="1:17" x14ac:dyDescent="0.25">
      <c r="A15" s="13">
        <v>45658</v>
      </c>
      <c r="B15" s="5">
        <v>16899</v>
      </c>
      <c r="C15" s="5">
        <v>34638.101999999759</v>
      </c>
      <c r="D15" s="5">
        <v>17697.323</v>
      </c>
      <c r="E15" s="5">
        <v>2422796</v>
      </c>
      <c r="F15" s="5">
        <v>2542.8963210000002</v>
      </c>
      <c r="G15" s="5">
        <v>3031.554584</v>
      </c>
      <c r="H15" s="6">
        <f t="shared" si="0"/>
        <v>83.880934700003422</v>
      </c>
      <c r="I15" s="11">
        <v>12069.041500000019</v>
      </c>
      <c r="J15" s="11">
        <v>799.14877999999783</v>
      </c>
      <c r="K15" s="11">
        <v>12868.190280000017</v>
      </c>
      <c r="L15" s="6">
        <v>231.17795484000015</v>
      </c>
      <c r="M15" s="6">
        <v>15.339842902400054</v>
      </c>
      <c r="N15" s="6">
        <v>0.80724365057999792</v>
      </c>
      <c r="O15" s="6">
        <v>247.32504139298024</v>
      </c>
      <c r="P15" s="6">
        <v>286.3891733699993</v>
      </c>
      <c r="Q15" s="6">
        <f t="shared" si="1"/>
        <v>86.359773479792025</v>
      </c>
    </row>
    <row r="16" spans="1:17" x14ac:dyDescent="0.25">
      <c r="A16" s="12">
        <v>45689</v>
      </c>
      <c r="B16" s="3">
        <v>16212</v>
      </c>
      <c r="C16" s="3">
        <v>33108.807000000001</v>
      </c>
      <c r="D16" s="3">
        <v>16805.955999999998</v>
      </c>
      <c r="E16" s="3">
        <v>2406210</v>
      </c>
      <c r="F16" s="3">
        <v>2519.19245</v>
      </c>
      <c r="G16" s="3">
        <v>2879.5766359999998</v>
      </c>
      <c r="H16" s="4">
        <f t="shared" si="0"/>
        <v>87.484820459558705</v>
      </c>
      <c r="I16" s="10">
        <v>11879.1867</v>
      </c>
      <c r="J16" s="10">
        <v>851.78230000000019</v>
      </c>
      <c r="K16" s="10">
        <v>12730.969000000001</v>
      </c>
      <c r="L16" s="4">
        <v>224.79007689999997</v>
      </c>
      <c r="M16" s="4">
        <v>15.124407160000001</v>
      </c>
      <c r="N16" s="4">
        <v>0.89512786459999993</v>
      </c>
      <c r="O16" s="4">
        <v>240.80961192460001</v>
      </c>
      <c r="P16" s="4">
        <v>268.77021669999999</v>
      </c>
      <c r="Q16" s="4">
        <f t="shared" si="1"/>
        <v>89.596836614300358</v>
      </c>
    </row>
    <row r="17" spans="1:17" x14ac:dyDescent="0.25">
      <c r="A17" s="13">
        <v>45717</v>
      </c>
      <c r="B17" s="5">
        <v>16855</v>
      </c>
      <c r="C17" s="5">
        <v>34314.239000000111</v>
      </c>
      <c r="D17" s="5">
        <v>17552.128000000001</v>
      </c>
      <c r="E17" s="5">
        <v>2303093</v>
      </c>
      <c r="F17" s="5">
        <v>2413.9391420000002</v>
      </c>
      <c r="G17" s="5">
        <v>3002.3438969999997</v>
      </c>
      <c r="H17" s="6">
        <f t="shared" si="0"/>
        <v>80.401820204942382</v>
      </c>
      <c r="I17" s="11">
        <v>13706.921000000009</v>
      </c>
      <c r="J17" s="11">
        <v>777.5075000000005</v>
      </c>
      <c r="K17" s="11">
        <v>14484.428500000009</v>
      </c>
      <c r="L17" s="6">
        <v>214.01280233999941</v>
      </c>
      <c r="M17" s="6">
        <v>17.335492691499933</v>
      </c>
      <c r="N17" s="6">
        <v>0.75674223104000005</v>
      </c>
      <c r="O17" s="6">
        <v>232.10503726253935</v>
      </c>
      <c r="P17" s="6">
        <v>277.37387524999883</v>
      </c>
      <c r="Q17" s="6">
        <f t="shared" si="1"/>
        <v>83.679487497999446</v>
      </c>
    </row>
    <row r="18" spans="1:17" ht="19.5" customHeight="1" x14ac:dyDescent="0.25">
      <c r="A18" s="7" t="s">
        <v>22</v>
      </c>
      <c r="B18" s="8">
        <f>SUM(B6:B17)</f>
        <v>152250</v>
      </c>
      <c r="C18" s="8">
        <f t="shared" ref="C18:G18" si="2">SUM(C6:C17)</f>
        <v>305347.02100000012</v>
      </c>
      <c r="D18" s="8">
        <f t="shared" si="2"/>
        <v>159509.66</v>
      </c>
      <c r="E18" s="8">
        <f t="shared" si="2"/>
        <v>22495187</v>
      </c>
      <c r="F18" s="8">
        <f t="shared" si="2"/>
        <v>22985.348937999996</v>
      </c>
      <c r="G18" s="8">
        <f t="shared" si="2"/>
        <v>27435.413854999999</v>
      </c>
      <c r="H18" s="9">
        <f t="shared" si="0"/>
        <v>83.779851324571879</v>
      </c>
      <c r="I18" s="9">
        <f>SUM(I6:I17)</f>
        <v>125011.81990000006</v>
      </c>
      <c r="J18" s="9">
        <f t="shared" ref="J18:P18" si="3">SUM(J6:J17)</f>
        <v>5802.5906054179832</v>
      </c>
      <c r="K18" s="9">
        <f t="shared" si="3"/>
        <v>130814.41050541801</v>
      </c>
      <c r="L18" s="9">
        <f t="shared" si="3"/>
        <v>2145.6168119759996</v>
      </c>
      <c r="M18" s="9">
        <f t="shared" si="3"/>
        <v>158.35874971350003</v>
      </c>
      <c r="N18" s="9">
        <f t="shared" si="3"/>
        <v>5.9464564285453871</v>
      </c>
      <c r="O18" s="9">
        <f t="shared" si="3"/>
        <v>2309.9220181180449</v>
      </c>
      <c r="P18" s="9">
        <f t="shared" si="3"/>
        <v>2667.8685533149969</v>
      </c>
      <c r="Q18" s="9">
        <f t="shared" si="1"/>
        <v>86.583052049090625</v>
      </c>
    </row>
    <row r="19" spans="1:17" ht="15" customHeight="1" x14ac:dyDescent="0.25">
      <c r="A19" s="16" t="s">
        <v>19</v>
      </c>
      <c r="B19" s="16"/>
      <c r="C19" s="16"/>
      <c r="D19" s="16"/>
      <c r="E19" s="16"/>
      <c r="F19" s="16"/>
      <c r="G19" s="16"/>
      <c r="H19" s="16"/>
      <c r="I19" s="16"/>
      <c r="J19" s="16"/>
      <c r="K19" s="16"/>
      <c r="L19" s="16"/>
      <c r="M19" s="16"/>
      <c r="N19" s="16"/>
      <c r="O19" s="16"/>
      <c r="P19" s="16"/>
      <c r="Q19" s="16"/>
    </row>
  </sheetData>
  <mergeCells count="13">
    <mergeCell ref="P4:P5"/>
    <mergeCell ref="Q4:Q5"/>
    <mergeCell ref="A19:Q19"/>
    <mergeCell ref="A1:Q1"/>
    <mergeCell ref="A2:Q2"/>
    <mergeCell ref="A3:Q3"/>
    <mergeCell ref="A4:A5"/>
    <mergeCell ref="B4:D4"/>
    <mergeCell ref="E4:F4"/>
    <mergeCell ref="G4:G5"/>
    <mergeCell ref="H4:H5"/>
    <mergeCell ref="I4:K4"/>
    <mergeCell ref="L4:O4"/>
  </mergeCells>
  <pageMargins left="0.7" right="0.7" top="0.75" bottom="0.75" header="0.3" footer="0.3"/>
  <pageSetup paperSize="9" scale="79" orientation="landscape" r:id="rId1"/>
  <ignoredErrors>
    <ignoredError sqref="H18" formula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AIR INDIA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acer</cp:lastModifiedBy>
  <cp:lastPrinted>2025-10-10T06:41:33Z</cp:lastPrinted>
  <dcterms:created xsi:type="dcterms:W3CDTF">2018-10-29T04:00:07Z</dcterms:created>
  <dcterms:modified xsi:type="dcterms:W3CDTF">2025-11-19T08:37:36Z</dcterms:modified>
</cp:coreProperties>
</file>