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24000" windowHeight="9435"/>
  </bookViews>
  <sheets>
    <sheet name="VISTARA" sheetId="1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6" l="1"/>
  <c r="Q9" i="16"/>
  <c r="Q10" i="16"/>
  <c r="Q17" i="16"/>
  <c r="O8" i="16"/>
  <c r="O9" i="16"/>
  <c r="O10" i="16"/>
  <c r="O11" i="16"/>
  <c r="Q11" i="16" s="1"/>
  <c r="O12" i="16"/>
  <c r="Q12" i="16" s="1"/>
  <c r="O13" i="16"/>
  <c r="Q13" i="16" s="1"/>
  <c r="O14" i="16"/>
  <c r="Q14" i="16" s="1"/>
  <c r="O15" i="16"/>
  <c r="Q15" i="16" s="1"/>
  <c r="O16" i="16"/>
  <c r="Q16" i="16" s="1"/>
  <c r="O17" i="16"/>
  <c r="O7" i="16"/>
  <c r="Q7" i="16" s="1"/>
  <c r="K6" i="16"/>
  <c r="H7" i="16" l="1"/>
  <c r="H8" i="16"/>
  <c r="H9" i="16"/>
  <c r="H10" i="16"/>
  <c r="H11" i="16"/>
  <c r="H12" i="16"/>
  <c r="H13" i="16"/>
  <c r="H14" i="16"/>
  <c r="H15" i="16"/>
  <c r="H16" i="16"/>
  <c r="H17" i="16"/>
  <c r="I18" i="16" l="1"/>
  <c r="C18" i="16"/>
  <c r="B18" i="16"/>
  <c r="P18" i="16"/>
  <c r="O18" i="16"/>
  <c r="N18" i="16"/>
  <c r="M18" i="16"/>
  <c r="L18" i="16"/>
  <c r="K18" i="16"/>
  <c r="J18" i="16"/>
  <c r="G18" i="16"/>
  <c r="F18" i="16"/>
  <c r="E18" i="16"/>
  <c r="D18" i="16"/>
  <c r="Q18" i="16" l="1"/>
  <c r="H18" i="16"/>
</calcChain>
</file>

<file path=xl/sharedStrings.xml><?xml version="1.0" encoding="utf-8"?>
<sst xmlns="http://schemas.openxmlformats.org/spreadsheetml/2006/main" count="28" uniqueCount="25">
  <si>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</si>
  <si>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</si>
  <si>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</si>
  <si>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</si>
  <si>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</si>
  <si>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</si>
  <si>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</si>
  <si>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</si>
  <si>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</si>
  <si>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</si>
  <si>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</si>
  <si>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</si>
  <si>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</si>
  <si>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</si>
  <si>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</si>
  <si>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</si>
  <si>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</si>
  <si>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</si>
  <si>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</si>
  <si>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(विस्तारा) </t>
  </si>
  <si>
    <t>Table 1.01 (VISTARA)</t>
  </si>
  <si>
    <t>SOURCE:-  ICAO ATR FORM 'A' FURNISHED BY VISTARA</t>
  </si>
  <si>
    <t>2020-21</t>
  </si>
  <si>
    <t>MONTHLY TRAFFIC AND OPERATING STATISTICS OF VISTARA ON SCHEDULED DOMESTIC SERVICES DURING 2020-21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</si>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</sst>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0" fillId="4" borderId="1" xfId="3" applyNumberFormat="1" applyFont="1" applyBorder="1" applyAlignment="1">
      <alignment horizontal="right" vertical="center"/>
    </xf>
    <xf numFmtId="165" fontId="0" fillId="4" borderId="1" xfId="3" applyNumberFormat="1" applyFont="1" applyBorder="1" applyAlignment="1">
      <alignment horizontal="center" vertical="center"/>
    </xf>
    <xf numFmtId="165" fontId="3" fillId="5" borderId="1" xfId="3" applyNumberFormat="1" applyFill="1" applyBorder="1" applyAlignment="1">
      <alignment horizontal="right" vertical="center"/>
    </xf>
    <xf numFmtId="165" fontId="0" fillId="6" borderId="1" xfId="1" applyNumberFormat="1" applyFont="1" applyFill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3" fontId="0" fillId="0" borderId="0" xfId="0" applyNumberFormat="1"/>
    <xf numFmtId="166" fontId="0" fillId="0" borderId="0" xfId="0" applyNumberFormat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E1" zoomScale="98" zoomScaleNormal="98" workbookViewId="0">
      <selection activeCell="E16" sqref="E16"/>
    </sheetView>
  </sheetViews>
  <sheetFormatPr defaultRowHeight="15" x14ac:dyDescent="0.25"/>
  <cols>
    <col min="1" max="1" width="8.140625" customWidth="1"/>
    <col min="2" max="2" width="7.28515625" customWidth="1"/>
    <col min="3" max="3" width="8.140625" customWidth="1"/>
    <col min="4" max="4" width="7.42578125" customWidth="1"/>
    <col min="5" max="5" width="9.5703125" customWidth="1"/>
    <col min="6" max="6" width="10.140625" customWidth="1"/>
    <col min="7" max="7" width="9.42578125" customWidth="1"/>
    <col min="8" max="8" width="6.7109375" customWidth="1"/>
    <col min="10" max="10" width="6" customWidth="1"/>
    <col min="12" max="12" width="9.7109375" customWidth="1"/>
    <col min="13" max="13" width="8.140625" customWidth="1"/>
    <col min="14" max="14" width="6.28515625" customWidth="1"/>
    <col min="15" max="15" width="10.42578125" customWidth="1"/>
    <col min="16" max="16" width="9.42578125" customWidth="1"/>
    <col min="17" max="17" width="6.85546875" customWidth="1"/>
  </cols>
  <sheetData>
    <row r="1" spans="1:17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8.9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4" t="s">
        <v>3</v>
      </c>
      <c r="H4" s="14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4" t="s">
        <v>7</v>
      </c>
      <c r="Q4" s="14" t="s">
        <v>8</v>
      </c>
    </row>
    <row r="5" spans="1:17" ht="107.25" customHeight="1" x14ac:dyDescent="0.25">
      <c r="A5" s="22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x14ac:dyDescent="0.25">
      <c r="A6" s="8">
        <v>43922</v>
      </c>
      <c r="B6" s="2"/>
      <c r="C6" s="2"/>
      <c r="D6" s="2"/>
      <c r="E6" s="2"/>
      <c r="F6" s="2"/>
      <c r="G6" s="2"/>
      <c r="H6" s="11" t="s">
        <v>24</v>
      </c>
      <c r="I6" s="5"/>
      <c r="J6" s="5"/>
      <c r="K6" s="5">
        <f>I6+J6</f>
        <v>0</v>
      </c>
      <c r="L6" s="5"/>
      <c r="M6" s="5"/>
      <c r="N6" s="5"/>
      <c r="O6" s="5"/>
      <c r="P6" s="5"/>
      <c r="Q6" s="10" t="s">
        <v>24</v>
      </c>
    </row>
    <row r="7" spans="1:17" x14ac:dyDescent="0.25">
      <c r="A7" s="8">
        <v>43952</v>
      </c>
      <c r="B7" s="3">
        <v>256</v>
      </c>
      <c r="C7" s="3">
        <v>378.2</v>
      </c>
      <c r="D7" s="3">
        <v>255.28399999999999</v>
      </c>
      <c r="E7" s="3">
        <v>18416</v>
      </c>
      <c r="F7" s="3">
        <v>18.946352999999998</v>
      </c>
      <c r="G7" s="3">
        <v>42.976544000000004</v>
      </c>
      <c r="H7" s="6">
        <f t="shared" ref="H7:H18" si="0">F7/G7*100</f>
        <v>44.085334083634081</v>
      </c>
      <c r="I7" s="6">
        <v>67.201999999999998</v>
      </c>
      <c r="J7" s="6"/>
      <c r="K7" s="12">
        <v>67.201999999999998</v>
      </c>
      <c r="L7" s="6">
        <v>1.7051717699999995</v>
      </c>
      <c r="M7" s="6">
        <v>9.8661828999999993E-2</v>
      </c>
      <c r="N7" s="6"/>
      <c r="O7" s="6">
        <f>L7+M7</f>
        <v>1.8038335989999996</v>
      </c>
      <c r="P7" s="6">
        <v>4.6161149000000012</v>
      </c>
      <c r="Q7" s="6">
        <f>O7/P7*100</f>
        <v>39.076878242350496</v>
      </c>
    </row>
    <row r="8" spans="1:17" x14ac:dyDescent="0.25">
      <c r="A8" s="8">
        <v>43983</v>
      </c>
      <c r="B8" s="2">
        <v>1179</v>
      </c>
      <c r="C8" s="2">
        <v>1976.14</v>
      </c>
      <c r="D8" s="2">
        <v>1360</v>
      </c>
      <c r="E8" s="2">
        <v>111914</v>
      </c>
      <c r="F8" s="2">
        <v>130.24</v>
      </c>
      <c r="G8" s="2">
        <v>230.11699999999999</v>
      </c>
      <c r="H8" s="5">
        <f t="shared" si="0"/>
        <v>56.597296158041352</v>
      </c>
      <c r="I8" s="5">
        <v>1168.2679999999998</v>
      </c>
      <c r="J8" s="5"/>
      <c r="K8" s="5">
        <v>1168.2679999999998</v>
      </c>
      <c r="L8" s="5">
        <v>11.722</v>
      </c>
      <c r="M8" s="5">
        <v>1.6559999999999999</v>
      </c>
      <c r="N8" s="5"/>
      <c r="O8" s="13">
        <f t="shared" ref="O8:O17" si="1">L8+M8</f>
        <v>13.378</v>
      </c>
      <c r="P8" s="5">
        <v>24.866</v>
      </c>
      <c r="Q8" s="13">
        <f t="shared" ref="Q8:Q17" si="2">O8/P8*100</f>
        <v>53.800369983109462</v>
      </c>
    </row>
    <row r="9" spans="1:17" x14ac:dyDescent="0.25">
      <c r="A9" s="8">
        <v>44013</v>
      </c>
      <c r="B9" s="3">
        <v>993</v>
      </c>
      <c r="C9" s="3"/>
      <c r="D9" s="3">
        <v>1121.492</v>
      </c>
      <c r="E9" s="3">
        <v>88235</v>
      </c>
      <c r="F9" s="3">
        <v>100.586603</v>
      </c>
      <c r="G9" s="3">
        <v>189.529484</v>
      </c>
      <c r="H9" s="6">
        <f t="shared" si="0"/>
        <v>53.071744235846708</v>
      </c>
      <c r="I9" s="6">
        <v>1644.9939999999999</v>
      </c>
      <c r="J9" s="6"/>
      <c r="K9" s="12">
        <v>1644.9939999999999</v>
      </c>
      <c r="L9" s="6">
        <v>9.0527942699999961</v>
      </c>
      <c r="M9" s="6">
        <v>2.3446293770000013</v>
      </c>
      <c r="N9" s="6"/>
      <c r="O9" s="6">
        <f t="shared" si="1"/>
        <v>11.397423646999997</v>
      </c>
      <c r="P9" s="6">
        <v>18.566083299999992</v>
      </c>
      <c r="Q9" s="6">
        <f t="shared" si="2"/>
        <v>61.38841166892751</v>
      </c>
    </row>
    <row r="10" spans="1:17" x14ac:dyDescent="0.25">
      <c r="A10" s="8">
        <v>44044</v>
      </c>
      <c r="B10" s="2">
        <v>1282</v>
      </c>
      <c r="C10" s="2">
        <v>2005.08</v>
      </c>
      <c r="D10" s="2">
        <v>1353.047</v>
      </c>
      <c r="E10" s="2">
        <v>141648</v>
      </c>
      <c r="F10" s="2">
        <v>157.70177799999999</v>
      </c>
      <c r="G10" s="2">
        <v>230.743078</v>
      </c>
      <c r="H10" s="5">
        <f t="shared" si="0"/>
        <v>68.345182601750679</v>
      </c>
      <c r="I10" s="5">
        <v>2211.73</v>
      </c>
      <c r="J10" s="5"/>
      <c r="K10" s="5">
        <v>2211.73</v>
      </c>
      <c r="L10" s="5">
        <v>14.193160019999997</v>
      </c>
      <c r="M10" s="5">
        <v>2.9448370109999993</v>
      </c>
      <c r="N10" s="5"/>
      <c r="O10" s="13">
        <f t="shared" si="1"/>
        <v>17.137997030999998</v>
      </c>
      <c r="P10" s="5">
        <v>19.634803599999998</v>
      </c>
      <c r="Q10" s="13">
        <f t="shared" si="2"/>
        <v>87.283771104285449</v>
      </c>
    </row>
    <row r="11" spans="1:17" x14ac:dyDescent="0.25">
      <c r="A11" s="8">
        <v>44075</v>
      </c>
      <c r="B11" s="3">
        <v>2374</v>
      </c>
      <c r="C11" s="3">
        <v>3863.24</v>
      </c>
      <c r="D11" s="3">
        <v>2645.0920000000001</v>
      </c>
      <c r="E11" s="3">
        <v>258441</v>
      </c>
      <c r="F11" s="3">
        <v>294.64923900000002</v>
      </c>
      <c r="G11" s="3">
        <v>441.95979</v>
      </c>
      <c r="H11" s="6">
        <f t="shared" si="0"/>
        <v>66.668788805425038</v>
      </c>
      <c r="I11" s="6">
        <v>3756.62</v>
      </c>
      <c r="J11" s="6"/>
      <c r="K11" s="12">
        <v>3756.62</v>
      </c>
      <c r="L11" s="6">
        <v>26.518431510000003</v>
      </c>
      <c r="M11" s="6">
        <v>5.0607767129999992</v>
      </c>
      <c r="N11" s="6"/>
      <c r="O11" s="6">
        <f t="shared" si="1"/>
        <v>31.579208223000002</v>
      </c>
      <c r="P11" s="6">
        <v>34.5687529</v>
      </c>
      <c r="Q11" s="6">
        <f t="shared" si="2"/>
        <v>91.351887394815463</v>
      </c>
    </row>
    <row r="12" spans="1:17" x14ac:dyDescent="0.25">
      <c r="A12" s="8">
        <v>44105</v>
      </c>
      <c r="B12" s="2">
        <v>3093</v>
      </c>
      <c r="C12" s="2">
        <v>5044.33</v>
      </c>
      <c r="D12" s="2">
        <v>3457.5749999999998</v>
      </c>
      <c r="E12" s="2">
        <v>339454</v>
      </c>
      <c r="F12" s="2">
        <v>374.807299</v>
      </c>
      <c r="G12" s="2">
        <v>574.89817799999992</v>
      </c>
      <c r="H12" s="5">
        <f t="shared" si="0"/>
        <v>65.195423005845754</v>
      </c>
      <c r="I12" s="5">
        <v>4274.4620000000004</v>
      </c>
      <c r="J12" s="5"/>
      <c r="K12" s="5">
        <v>4274.4620000000004</v>
      </c>
      <c r="L12" s="5">
        <v>33.732656910000003</v>
      </c>
      <c r="M12" s="5">
        <v>5.6584421680000005</v>
      </c>
      <c r="N12" s="5"/>
      <c r="O12" s="13">
        <f t="shared" si="1"/>
        <v>39.391099078000003</v>
      </c>
      <c r="P12" s="5">
        <v>60.075112100000041</v>
      </c>
      <c r="Q12" s="13">
        <f t="shared" si="2"/>
        <v>65.569747106639156</v>
      </c>
    </row>
    <row r="13" spans="1:17" x14ac:dyDescent="0.25">
      <c r="A13" s="8">
        <v>44136</v>
      </c>
      <c r="B13" s="3">
        <v>3324</v>
      </c>
      <c r="C13" s="3">
        <v>5440.34</v>
      </c>
      <c r="D13" s="3">
        <v>3694.8110000000001</v>
      </c>
      <c r="E13" s="3">
        <v>397302</v>
      </c>
      <c r="F13" s="3">
        <v>439.851271</v>
      </c>
      <c r="G13" s="3">
        <v>621.55865000000006</v>
      </c>
      <c r="H13" s="6">
        <f t="shared" si="0"/>
        <v>70.765851460678718</v>
      </c>
      <c r="I13" s="6">
        <v>3913.83</v>
      </c>
      <c r="J13" s="6"/>
      <c r="K13" s="12">
        <v>3913.83</v>
      </c>
      <c r="L13" s="6">
        <v>39.586614389999987</v>
      </c>
      <c r="M13" s="6">
        <v>5.155587416999996</v>
      </c>
      <c r="N13" s="6"/>
      <c r="O13" s="6">
        <f t="shared" si="1"/>
        <v>44.742201806999987</v>
      </c>
      <c r="P13" s="6">
        <v>66.063360000000003</v>
      </c>
      <c r="Q13" s="6">
        <f t="shared" si="2"/>
        <v>67.726197709289977</v>
      </c>
    </row>
    <row r="14" spans="1:17" x14ac:dyDescent="0.25">
      <c r="A14" s="8">
        <v>44166</v>
      </c>
      <c r="B14" s="2">
        <v>4132</v>
      </c>
      <c r="C14" s="2">
        <v>6815.01</v>
      </c>
      <c r="D14" s="2">
        <v>4557.6239999999998</v>
      </c>
      <c r="E14" s="2">
        <v>461382</v>
      </c>
      <c r="F14" s="2">
        <v>506.98536700000005</v>
      </c>
      <c r="G14" s="2">
        <v>759.19883600000003</v>
      </c>
      <c r="H14" s="5">
        <f t="shared" si="0"/>
        <v>66.778996879283952</v>
      </c>
      <c r="I14" s="5">
        <v>3612.0169999999998</v>
      </c>
      <c r="J14" s="5"/>
      <c r="K14" s="5">
        <v>3612.0169999999998</v>
      </c>
      <c r="L14" s="5">
        <v>45.628219800000011</v>
      </c>
      <c r="M14" s="5">
        <v>4.6228108500000005</v>
      </c>
      <c r="N14" s="5"/>
      <c r="O14" s="13">
        <f t="shared" si="1"/>
        <v>50.251030650000011</v>
      </c>
      <c r="P14" s="5">
        <v>79.783909799999975</v>
      </c>
      <c r="Q14" s="13">
        <f t="shared" si="2"/>
        <v>62.983915899794653</v>
      </c>
    </row>
    <row r="15" spans="1:17" x14ac:dyDescent="0.25">
      <c r="A15" s="8">
        <v>44197</v>
      </c>
      <c r="B15" s="3">
        <v>4359</v>
      </c>
      <c r="C15" s="3">
        <v>7169.33</v>
      </c>
      <c r="D15" s="3">
        <v>4790.2569999999996</v>
      </c>
      <c r="E15" s="3">
        <v>514479</v>
      </c>
      <c r="F15" s="3">
        <v>563.74772100000007</v>
      </c>
      <c r="G15" s="3">
        <v>804.95565699999997</v>
      </c>
      <c r="H15" s="6">
        <f t="shared" si="0"/>
        <v>70.034630615683724</v>
      </c>
      <c r="I15" s="6">
        <v>3428.6460000000002</v>
      </c>
      <c r="J15" s="6"/>
      <c r="K15" s="12">
        <v>3428.6460000000002</v>
      </c>
      <c r="L15" s="6">
        <v>50.73729488999998</v>
      </c>
      <c r="M15" s="6">
        <v>4.3890610829999996</v>
      </c>
      <c r="N15" s="6"/>
      <c r="O15" s="6">
        <f t="shared" si="1"/>
        <v>55.126355972999981</v>
      </c>
      <c r="P15" s="6">
        <v>85.69505630000009</v>
      </c>
      <c r="Q15" s="6">
        <f t="shared" si="2"/>
        <v>64.328513630954845</v>
      </c>
    </row>
    <row r="16" spans="1:17" x14ac:dyDescent="0.25">
      <c r="A16" s="8">
        <v>44228</v>
      </c>
      <c r="B16" s="2">
        <v>4344</v>
      </c>
      <c r="C16" s="2">
        <v>7290.26</v>
      </c>
      <c r="D16" s="2">
        <v>4867.4340000000002</v>
      </c>
      <c r="E16" s="2">
        <v>540244</v>
      </c>
      <c r="F16" s="2">
        <v>599.90694099999996</v>
      </c>
      <c r="G16" s="2">
        <v>813.73974999999996</v>
      </c>
      <c r="H16" s="5">
        <f t="shared" si="0"/>
        <v>73.722211677627897</v>
      </c>
      <c r="I16" s="5">
        <v>3772.5909999999999</v>
      </c>
      <c r="J16" s="5"/>
      <c r="K16" s="5">
        <v>3772.5909999999999</v>
      </c>
      <c r="L16" s="5">
        <v>53.991783360000049</v>
      </c>
      <c r="M16" s="5">
        <v>4.9097799720000017</v>
      </c>
      <c r="N16" s="5"/>
      <c r="O16" s="13">
        <f t="shared" si="1"/>
        <v>58.901563332000052</v>
      </c>
      <c r="P16" s="5">
        <v>85.725444300000035</v>
      </c>
      <c r="Q16" s="13">
        <f t="shared" si="2"/>
        <v>68.709545704856765</v>
      </c>
    </row>
    <row r="17" spans="1:17" x14ac:dyDescent="0.25">
      <c r="A17" s="8">
        <v>44256</v>
      </c>
      <c r="B17" s="3">
        <v>4678</v>
      </c>
      <c r="C17" s="3">
        <v>7813</v>
      </c>
      <c r="D17" s="3">
        <v>5254.5590000000002</v>
      </c>
      <c r="E17" s="3">
        <v>499846</v>
      </c>
      <c r="F17" s="3">
        <v>565.50353700000005</v>
      </c>
      <c r="G17" s="3">
        <v>876.28692899999999</v>
      </c>
      <c r="H17" s="6">
        <f t="shared" si="0"/>
        <v>64.534060509762554</v>
      </c>
      <c r="I17" s="6">
        <v>3677.6109999999999</v>
      </c>
      <c r="J17" s="6"/>
      <c r="K17" s="12">
        <v>3677.6109999999999</v>
      </c>
      <c r="L17" s="6">
        <v>50.895318330000038</v>
      </c>
      <c r="M17" s="6">
        <v>4.7959030659999993</v>
      </c>
      <c r="N17" s="6"/>
      <c r="O17" s="6">
        <f t="shared" si="1"/>
        <v>55.691221396000039</v>
      </c>
      <c r="P17" s="6">
        <v>91.732963900000016</v>
      </c>
      <c r="Q17" s="6">
        <f t="shared" si="2"/>
        <v>60.710151540192449</v>
      </c>
    </row>
    <row r="18" spans="1:17" x14ac:dyDescent="0.25">
      <c r="A18" s="1" t="s">
        <v>22</v>
      </c>
      <c r="B18" s="4">
        <f>SUM(B6:B17)</f>
        <v>30014</v>
      </c>
      <c r="C18" s="4">
        <f t="shared" ref="C18:G18" si="3">SUM(C6:C17)</f>
        <v>47794.930000000008</v>
      </c>
      <c r="D18" s="4">
        <f t="shared" si="3"/>
        <v>33357.175000000003</v>
      </c>
      <c r="E18" s="4">
        <f t="shared" si="3"/>
        <v>3371361</v>
      </c>
      <c r="F18" s="4">
        <f t="shared" si="3"/>
        <v>3752.9261090000005</v>
      </c>
      <c r="G18" s="4">
        <f t="shared" si="3"/>
        <v>5585.9638959999993</v>
      </c>
      <c r="H18" s="7">
        <f t="shared" si="0"/>
        <v>67.184933144437224</v>
      </c>
      <c r="I18" s="7">
        <f t="shared" ref="I18:P18" si="4">SUM(I6:I17)</f>
        <v>31527.971000000001</v>
      </c>
      <c r="J18" s="7">
        <f t="shared" si="4"/>
        <v>0</v>
      </c>
      <c r="K18" s="7">
        <f t="shared" si="4"/>
        <v>31527.971000000001</v>
      </c>
      <c r="L18" s="7">
        <f t="shared" si="4"/>
        <v>337.76344525000002</v>
      </c>
      <c r="M18" s="7">
        <f t="shared" si="4"/>
        <v>41.636489486000002</v>
      </c>
      <c r="N18" s="7">
        <f t="shared" si="4"/>
        <v>0</v>
      </c>
      <c r="O18" s="7">
        <f t="shared" si="4"/>
        <v>379.39993473600009</v>
      </c>
      <c r="P18" s="7">
        <f t="shared" si="4"/>
        <v>571.32760110000015</v>
      </c>
      <c r="Q18" s="7">
        <f>O18/P18*100</f>
        <v>66.406722518836133</v>
      </c>
    </row>
    <row r="19" spans="1:17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1:17" x14ac:dyDescent="0.25">
      <c r="B20" s="24"/>
      <c r="C20" s="24"/>
      <c r="D20" s="24"/>
      <c r="E20" s="24"/>
      <c r="F20" s="24"/>
      <c r="G20" s="24"/>
      <c r="H20" s="25"/>
      <c r="I20" s="24"/>
      <c r="J20" s="24"/>
      <c r="K20" s="24"/>
      <c r="L20" s="24"/>
      <c r="M20" s="25"/>
      <c r="N20" s="24"/>
      <c r="O20" s="24"/>
      <c r="P20" s="24"/>
      <c r="Q20" s="2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2020-05-06T11:03:48Z</cp:lastPrinted>
  <dcterms:created xsi:type="dcterms:W3CDTF">2018-10-29T04:00:07Z</dcterms:created>
  <dcterms:modified xsi:type="dcterms:W3CDTF">2022-04-21T08:18:26Z</dcterms:modified>
</cp:coreProperties>
</file>