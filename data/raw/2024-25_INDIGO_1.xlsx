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INDIGO\"/>
    </mc:Choice>
  </mc:AlternateContent>
  <bookViews>
    <workbookView xWindow="0" yWindow="0" windowWidth="11970" windowHeight="9495"/>
  </bookViews>
  <sheets>
    <sheet name="INDIGO" sheetId="10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0" l="1"/>
  <c r="H17" i="10"/>
  <c r="Q16" i="10"/>
  <c r="H16" i="10"/>
  <c r="Q15" i="10"/>
  <c r="H15" i="10"/>
  <c r="Q14" i="10"/>
  <c r="H14" i="10"/>
  <c r="Q13" i="10"/>
  <c r="H13" i="10"/>
  <c r="Q12" i="10"/>
  <c r="H12" i="10"/>
  <c r="Q11" i="10"/>
  <c r="H11" i="10"/>
  <c r="Q10" i="10"/>
  <c r="H10" i="10"/>
  <c r="Q9" i="10"/>
  <c r="H9" i="10"/>
  <c r="Q8" i="10"/>
  <c r="H8" i="10"/>
  <c r="Q7" i="10"/>
  <c r="H7" i="10"/>
  <c r="Q6" i="10"/>
  <c r="H6" i="10"/>
  <c r="C18" i="10" l="1"/>
  <c r="P18" i="10" l="1"/>
  <c r="G18" i="10" l="1"/>
  <c r="I18" i="10" l="1"/>
  <c r="B18" i="10"/>
  <c r="O18" i="10"/>
  <c r="N18" i="10"/>
  <c r="M18" i="10"/>
  <c r="L18" i="10"/>
  <c r="K18" i="10"/>
  <c r="J18" i="10"/>
  <c r="F18" i="10"/>
  <c r="E18" i="10"/>
  <c r="D18" i="10"/>
  <c r="Q18" i="10" l="1"/>
  <c r="H18" i="10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<sst xmlns="http://schemas.openxmlformats.org/spreadsheetml/2006/main" count="26" uniqueCount="24">
  <si>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</si>
  <si>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</si>
  <si>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</si>
  <si>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</si>
  <si>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</si>
  <si>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</si>
  <si>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</si>
  <si>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</si>
  <si>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</si>
  <si>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</si>
  <si>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</si>
  <si>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</si>
  <si>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</si>
  <si>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</si>
  <si>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</si>
  <si>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</si>
  <si>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</si>
  <si>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</si>
  <si>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</si>
  <si>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(इंडिगो) </t>
  </si>
  <si>
    <t>Table 1.01 (INDIGO)</t>
  </si>
  <si>
    <t>SOURCE:-  ICAO ATR FORM 'A' FURNISHED BY INDIGO</t>
  </si>
  <si>
    <t>2024-25</t>
  </si>
  <si>
    <t>MONTHLY TRAFFIC AND OPERATING STATISTICS OF INDIGO ON SCHEDULED DOMESTIC SERVICES DURING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</si>
</sst>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0" fillId="0" borderId="0" xfId="0" applyAlignment="1">
      <alignment horizontal="center"/>
    </xf>
    <xf numFmtId="0" fontId="1" fillId="2" borderId="0" xfId="0" applyFont="1" applyFill="1" applyBorder="1" applyAlignment="1" applyProtection="1">
      <alignment horizontal="left" vertical="center" wrapText="1"/>
    </xf>
    <xf numFmtId="168" fontId="3" fillId="4" borderId="1" xfId="3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view="pageBreakPreview" zoomScaleNormal="100" zoomScaleSheetLayoutView="100" workbookViewId="0">
      <selection activeCell="I13" sqref="I13"/>
    </sheetView>
  </sheetViews>
  <sheetFormatPr defaultRowHeight="15" x14ac:dyDescent="0.25"/>
  <cols>
    <col min="1" max="1" width="16.42578125" style="9" customWidth="1"/>
    <col min="2" max="2" width="11" customWidth="1"/>
    <col min="3" max="3" width="12.140625" customWidth="1"/>
    <col min="4" max="4" width="11.5703125" customWidth="1"/>
    <col min="5" max="5" width="15.42578125" customWidth="1"/>
    <col min="6" max="6" width="10.7109375" customWidth="1"/>
    <col min="7" max="7" width="11" customWidth="1"/>
    <col min="8" max="8" width="8.5703125" customWidth="1"/>
    <col min="9" max="9" width="13.140625" customWidth="1"/>
    <col min="10" max="10" width="11" customWidth="1"/>
    <col min="11" max="11" width="11.5703125" customWidth="1"/>
    <col min="12" max="12" width="10.42578125" customWidth="1"/>
    <col min="13" max="14" width="9.42578125" customWidth="1"/>
    <col min="15" max="15" width="11" customWidth="1"/>
    <col min="16" max="16" width="8.7109375" customWidth="1"/>
    <col min="17" max="17" width="8.28515625" customWidth="1"/>
  </cols>
  <sheetData>
    <row r="1" spans="1:17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0.7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3.6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3" t="s">
        <v>3</v>
      </c>
      <c r="H4" s="1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3" t="s">
        <v>7</v>
      </c>
      <c r="Q4" s="13" t="s">
        <v>8</v>
      </c>
    </row>
    <row r="5" spans="1:17" ht="120.75" customHeight="1" x14ac:dyDescent="0.25">
      <c r="A5" s="21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4"/>
      <c r="H5" s="14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4"/>
      <c r="Q5" s="14"/>
    </row>
    <row r="6" spans="1:17" x14ac:dyDescent="0.25">
      <c r="A6" s="11">
        <v>45383</v>
      </c>
      <c r="B6" s="2">
        <v>53477</v>
      </c>
      <c r="C6" s="2">
        <v>93324.3</v>
      </c>
      <c r="D6" s="2">
        <v>45934.226999999999</v>
      </c>
      <c r="E6" s="2">
        <v>7999788</v>
      </c>
      <c r="F6" s="2">
        <v>7541.7349999999997</v>
      </c>
      <c r="G6" s="2">
        <v>8711.3799999999992</v>
      </c>
      <c r="H6" s="5">
        <f t="shared" ref="H6:H17" si="0">F6/G6*100</f>
        <v>86.573367250653746</v>
      </c>
      <c r="I6" s="5">
        <v>21569.786</v>
      </c>
      <c r="J6" s="5">
        <v>2266.5990000000002</v>
      </c>
      <c r="K6" s="5">
        <v>23836.385000000002</v>
      </c>
      <c r="L6" s="5">
        <v>678.63796400000001</v>
      </c>
      <c r="M6" s="5">
        <v>30.557700000000001</v>
      </c>
      <c r="N6" s="5">
        <v>2.381424</v>
      </c>
      <c r="O6" s="5">
        <v>711.577088</v>
      </c>
      <c r="P6" s="5">
        <v>976.32009199999993</v>
      </c>
      <c r="Q6" s="5">
        <f t="shared" ref="Q6:Q17" si="1">O6/P6*100</f>
        <v>72.883585396908956</v>
      </c>
    </row>
    <row r="7" spans="1:17" x14ac:dyDescent="0.25">
      <c r="A7" s="12">
        <v>45413</v>
      </c>
      <c r="B7" s="3">
        <v>55381</v>
      </c>
      <c r="C7" s="3">
        <v>96682.833333333328</v>
      </c>
      <c r="D7" s="3">
        <v>47429.321000000004</v>
      </c>
      <c r="E7" s="3">
        <v>8504042</v>
      </c>
      <c r="F7" s="3">
        <v>7947.1189999999997</v>
      </c>
      <c r="G7" s="3">
        <v>8986.4140000000007</v>
      </c>
      <c r="H7" s="6">
        <f t="shared" si="0"/>
        <v>88.434819495295898</v>
      </c>
      <c r="I7" s="6">
        <v>26545.087</v>
      </c>
      <c r="J7" s="6">
        <v>2257.8120000000004</v>
      </c>
      <c r="K7" s="6">
        <v>28802.899000000001</v>
      </c>
      <c r="L7" s="6">
        <v>715.13131999999996</v>
      </c>
      <c r="M7" s="6">
        <v>30.987000999999999</v>
      </c>
      <c r="N7" s="6">
        <v>2.0215050000000003</v>
      </c>
      <c r="O7" s="6">
        <v>748.13982599999997</v>
      </c>
      <c r="P7" s="6">
        <v>1006.6580670000001</v>
      </c>
      <c r="Q7" s="6">
        <f t="shared" si="1"/>
        <v>74.319160649015075</v>
      </c>
    </row>
    <row r="8" spans="1:17" x14ac:dyDescent="0.25">
      <c r="A8" s="11">
        <v>45444</v>
      </c>
      <c r="B8" s="2">
        <v>53313</v>
      </c>
      <c r="C8" s="2">
        <v>93256.366666666669</v>
      </c>
      <c r="D8" s="2">
        <v>45557.082000000002</v>
      </c>
      <c r="E8" s="2">
        <v>8029628</v>
      </c>
      <c r="F8" s="2">
        <v>7511.8249999999998</v>
      </c>
      <c r="G8" s="2">
        <v>8635.6149999999998</v>
      </c>
      <c r="H8" s="5">
        <f t="shared" si="0"/>
        <v>86.986566677648327</v>
      </c>
      <c r="I8" s="5">
        <v>25078.100999999999</v>
      </c>
      <c r="J8" s="5">
        <v>2368.9299999999998</v>
      </c>
      <c r="K8" s="5">
        <v>27447.030999999999</v>
      </c>
      <c r="L8" s="5">
        <v>676.03517199999999</v>
      </c>
      <c r="M8" s="5">
        <v>29.542840000000002</v>
      </c>
      <c r="N8" s="5">
        <v>2.0485799999999998</v>
      </c>
      <c r="O8" s="5">
        <v>707.62659199999996</v>
      </c>
      <c r="P8" s="5">
        <v>966.83541600000001</v>
      </c>
      <c r="Q8" s="5">
        <f t="shared" si="1"/>
        <v>73.189974248936693</v>
      </c>
    </row>
    <row r="9" spans="1:17" x14ac:dyDescent="0.25">
      <c r="A9" s="12">
        <v>45474</v>
      </c>
      <c r="B9" s="3">
        <v>54709</v>
      </c>
      <c r="C9" s="3">
        <v>96704.45</v>
      </c>
      <c r="D9" s="3">
        <v>46677.362999999998</v>
      </c>
      <c r="E9" s="3">
        <v>8046505</v>
      </c>
      <c r="F9" s="3">
        <v>7528.951</v>
      </c>
      <c r="G9" s="3">
        <v>8898.1939999999995</v>
      </c>
      <c r="H9" s="6">
        <f t="shared" si="0"/>
        <v>84.612124662600081</v>
      </c>
      <c r="I9" s="6">
        <v>24243.294999999998</v>
      </c>
      <c r="J9" s="6">
        <v>2576.4949999999999</v>
      </c>
      <c r="K9" s="6">
        <v>26819.789999999997</v>
      </c>
      <c r="L9" s="6">
        <v>677.496081</v>
      </c>
      <c r="M9" s="6">
        <v>28.436862000000001</v>
      </c>
      <c r="N9" s="6">
        <v>2.234588</v>
      </c>
      <c r="O9" s="6">
        <v>708.16753099999994</v>
      </c>
      <c r="P9" s="6">
        <v>997.47196699999995</v>
      </c>
      <c r="Q9" s="6">
        <f t="shared" si="1"/>
        <v>70.996233922231127</v>
      </c>
    </row>
    <row r="10" spans="1:17" x14ac:dyDescent="0.25">
      <c r="A10" s="11">
        <v>45505</v>
      </c>
      <c r="B10" s="2">
        <v>56433</v>
      </c>
      <c r="C10" s="2">
        <v>99527.616666666669</v>
      </c>
      <c r="D10" s="2">
        <v>48236.563999999998</v>
      </c>
      <c r="E10" s="2">
        <v>8190413</v>
      </c>
      <c r="F10" s="2">
        <v>7599.9359999999997</v>
      </c>
      <c r="G10" s="2">
        <v>9231.1260000000002</v>
      </c>
      <c r="H10" s="5">
        <f t="shared" si="0"/>
        <v>82.329457966449596</v>
      </c>
      <c r="I10" s="5">
        <v>24003.780999999999</v>
      </c>
      <c r="J10" s="5">
        <v>2545.395</v>
      </c>
      <c r="K10" s="5">
        <v>26549.175999999999</v>
      </c>
      <c r="L10" s="5">
        <v>683.87576899999999</v>
      </c>
      <c r="M10" s="5">
        <v>27.994071999999999</v>
      </c>
      <c r="N10" s="5">
        <v>2.2724000000000002</v>
      </c>
      <c r="O10" s="5">
        <v>714.14224100000001</v>
      </c>
      <c r="P10" s="5">
        <v>1035.5425909999999</v>
      </c>
      <c r="Q10" s="5">
        <f t="shared" si="1"/>
        <v>68.963096950978056</v>
      </c>
    </row>
    <row r="11" spans="1:17" x14ac:dyDescent="0.25">
      <c r="A11" s="12">
        <v>45536</v>
      </c>
      <c r="B11" s="3">
        <v>56012</v>
      </c>
      <c r="C11" s="3">
        <v>98623.78333333334</v>
      </c>
      <c r="D11" s="3">
        <v>48029.135999999999</v>
      </c>
      <c r="E11" s="3">
        <v>8211792</v>
      </c>
      <c r="F11" s="3">
        <v>7624.3360000000002</v>
      </c>
      <c r="G11" s="3">
        <v>9230.3960000000006</v>
      </c>
      <c r="H11" s="6">
        <f t="shared" si="0"/>
        <v>82.600313139327923</v>
      </c>
      <c r="I11" s="6">
        <v>25081.387999999999</v>
      </c>
      <c r="J11" s="6">
        <v>2291.0990000000002</v>
      </c>
      <c r="K11" s="6">
        <v>27372.487000000001</v>
      </c>
      <c r="L11" s="6">
        <v>686.10169799999994</v>
      </c>
      <c r="M11" s="6">
        <v>29.478379</v>
      </c>
      <c r="N11" s="6">
        <v>2.0451449999999998</v>
      </c>
      <c r="O11" s="6">
        <v>717.62522199999989</v>
      </c>
      <c r="P11" s="6">
        <v>1037.0007599999999</v>
      </c>
      <c r="Q11" s="6">
        <f t="shared" si="1"/>
        <v>69.201995763243218</v>
      </c>
    </row>
    <row r="12" spans="1:17" x14ac:dyDescent="0.25">
      <c r="A12" s="11">
        <v>45566</v>
      </c>
      <c r="B12" s="2">
        <v>59156</v>
      </c>
      <c r="C12" s="2">
        <v>104385.11666666667</v>
      </c>
      <c r="D12" s="2">
        <v>51433.855000000003</v>
      </c>
      <c r="E12" s="2">
        <v>8640128</v>
      </c>
      <c r="F12" s="2">
        <v>8129.2529999999997</v>
      </c>
      <c r="G12" s="2">
        <v>9882.7350000000006</v>
      </c>
      <c r="H12" s="5">
        <f t="shared" si="0"/>
        <v>82.257118095345064</v>
      </c>
      <c r="I12" s="5">
        <v>27144.253000000001</v>
      </c>
      <c r="J12" s="5">
        <v>2521.75</v>
      </c>
      <c r="K12" s="5">
        <v>29666.003000000001</v>
      </c>
      <c r="L12" s="5">
        <v>731.58821999999998</v>
      </c>
      <c r="M12" s="5">
        <v>31.521794999999997</v>
      </c>
      <c r="N12" s="5">
        <v>2.2472130000000003</v>
      </c>
      <c r="O12" s="5">
        <v>765.35722799999996</v>
      </c>
      <c r="P12" s="2">
        <v>1108.1658689999999</v>
      </c>
      <c r="Q12" s="5">
        <f t="shared" si="1"/>
        <v>69.065222942721761</v>
      </c>
    </row>
    <row r="13" spans="1:17" x14ac:dyDescent="0.25">
      <c r="A13" s="12">
        <v>45597</v>
      </c>
      <c r="B13" s="3">
        <v>56776</v>
      </c>
      <c r="C13" s="3">
        <v>100409.43333333333</v>
      </c>
      <c r="D13" s="3">
        <v>49404.14</v>
      </c>
      <c r="E13" s="3">
        <v>9069728</v>
      </c>
      <c r="F13" s="3">
        <v>8592.77</v>
      </c>
      <c r="G13" s="3">
        <v>9512.2960000000003</v>
      </c>
      <c r="H13" s="6">
        <f t="shared" si="0"/>
        <v>90.333290721819424</v>
      </c>
      <c r="I13" s="6">
        <v>23310.498</v>
      </c>
      <c r="J13" s="6">
        <v>2476.1770000000001</v>
      </c>
      <c r="K13" s="6">
        <v>25786.674999999999</v>
      </c>
      <c r="L13" s="6">
        <v>773.26484499999992</v>
      </c>
      <c r="M13" s="6">
        <v>27.349333999999999</v>
      </c>
      <c r="N13" s="6">
        <v>2.1960509999999998</v>
      </c>
      <c r="O13" s="6">
        <v>802.81022999999993</v>
      </c>
      <c r="P13" s="6">
        <v>1066.511945</v>
      </c>
      <c r="Q13" s="6">
        <f t="shared" si="1"/>
        <v>75.274377728605742</v>
      </c>
    </row>
    <row r="14" spans="1:17" x14ac:dyDescent="0.25">
      <c r="A14" s="11">
        <v>45627</v>
      </c>
      <c r="B14" s="2">
        <v>59546</v>
      </c>
      <c r="C14" s="2">
        <v>105584.6</v>
      </c>
      <c r="D14" s="2">
        <v>51989.093999999997</v>
      </c>
      <c r="E14" s="2">
        <v>9615322</v>
      </c>
      <c r="F14" s="2">
        <v>9113.0519999999997</v>
      </c>
      <c r="G14" s="2">
        <v>10053.14</v>
      </c>
      <c r="H14" s="5">
        <f t="shared" si="0"/>
        <v>90.648812211905934</v>
      </c>
      <c r="I14" s="5">
        <v>25159.670999999998</v>
      </c>
      <c r="J14" s="5">
        <v>2975.2530000000002</v>
      </c>
      <c r="K14" s="5">
        <v>28134.923999999999</v>
      </c>
      <c r="L14" s="5">
        <v>820.08953199999996</v>
      </c>
      <c r="M14" s="5">
        <v>29.151872000000001</v>
      </c>
      <c r="N14" s="5">
        <v>2.6199509999999999</v>
      </c>
      <c r="O14" s="5">
        <v>851.861355</v>
      </c>
      <c r="P14" s="5">
        <v>1116.225837</v>
      </c>
      <c r="Q14" s="5">
        <f t="shared" si="1"/>
        <v>76.316219062755849</v>
      </c>
    </row>
    <row r="15" spans="1:17" x14ac:dyDescent="0.25">
      <c r="A15" s="12">
        <v>45658</v>
      </c>
      <c r="B15" s="3">
        <v>60152</v>
      </c>
      <c r="C15" s="3">
        <v>107177.65</v>
      </c>
      <c r="D15" s="3">
        <v>52567.898000000001</v>
      </c>
      <c r="E15" s="3">
        <v>9614311</v>
      </c>
      <c r="F15" s="3">
        <v>9125.277</v>
      </c>
      <c r="G15" s="3">
        <v>10164.451999999999</v>
      </c>
      <c r="H15" s="6">
        <f t="shared" si="0"/>
        <v>89.776379484107963</v>
      </c>
      <c r="I15" s="6">
        <v>24071.843000000001</v>
      </c>
      <c r="J15" s="6">
        <v>3105.83</v>
      </c>
      <c r="K15" s="6">
        <v>27177.673000000003</v>
      </c>
      <c r="L15" s="6">
        <v>821.23649999999998</v>
      </c>
      <c r="M15" s="6">
        <v>27.659261999999998</v>
      </c>
      <c r="N15" s="6">
        <v>2.7036069999999999</v>
      </c>
      <c r="O15" s="6">
        <v>851.59936899999991</v>
      </c>
      <c r="P15" s="6">
        <v>1113.222575</v>
      </c>
      <c r="Q15" s="6">
        <f t="shared" si="1"/>
        <v>76.498571635595866</v>
      </c>
    </row>
    <row r="16" spans="1:17" x14ac:dyDescent="0.25">
      <c r="A16" s="11">
        <v>45689</v>
      </c>
      <c r="B16" s="2">
        <v>55405</v>
      </c>
      <c r="C16" s="2">
        <v>98513.03333333334</v>
      </c>
      <c r="D16" s="2">
        <v>48288.148999999998</v>
      </c>
      <c r="E16" s="2">
        <v>9015997</v>
      </c>
      <c r="F16" s="2">
        <v>8538.8349999999991</v>
      </c>
      <c r="G16" s="2">
        <v>9315.125</v>
      </c>
      <c r="H16" s="5">
        <f t="shared" si="0"/>
        <v>91.666349082808864</v>
      </c>
      <c r="I16" s="5">
        <v>23068.793000000001</v>
      </c>
      <c r="J16" s="5">
        <v>2693.9059999999999</v>
      </c>
      <c r="K16" s="5">
        <v>25762.699000000001</v>
      </c>
      <c r="L16" s="5">
        <v>768.36408400000005</v>
      </c>
      <c r="M16" s="5">
        <v>26.525055000000002</v>
      </c>
      <c r="N16" s="5">
        <v>2.3747769999999999</v>
      </c>
      <c r="O16" s="5">
        <v>797.26391600000011</v>
      </c>
      <c r="P16" s="5">
        <v>1022.260228</v>
      </c>
      <c r="Q16" s="5">
        <f t="shared" si="1"/>
        <v>77.990309528113627</v>
      </c>
    </row>
    <row r="17" spans="1:18" x14ac:dyDescent="0.25">
      <c r="A17" s="12">
        <v>45717</v>
      </c>
      <c r="B17" s="3">
        <v>61957</v>
      </c>
      <c r="C17" s="3">
        <v>110318.86666666667</v>
      </c>
      <c r="D17" s="3">
        <v>54062.758999999998</v>
      </c>
      <c r="E17" s="3">
        <v>9309423</v>
      </c>
      <c r="F17" s="3">
        <v>8798.393</v>
      </c>
      <c r="G17" s="3">
        <v>10399.245999999999</v>
      </c>
      <c r="H17" s="6">
        <f t="shared" si="0"/>
        <v>84.606066632138536</v>
      </c>
      <c r="I17" s="6">
        <v>26716.425999999999</v>
      </c>
      <c r="J17" s="6">
        <v>2568.4299999999994</v>
      </c>
      <c r="K17" s="6">
        <v>29284.856</v>
      </c>
      <c r="L17" s="6">
        <v>791.75958100000003</v>
      </c>
      <c r="M17" s="6">
        <v>30.754293000000001</v>
      </c>
      <c r="N17" s="6">
        <v>2.193076</v>
      </c>
      <c r="O17" s="6">
        <v>824.70695000000001</v>
      </c>
      <c r="P17" s="6">
        <v>1143.7428799999998</v>
      </c>
      <c r="Q17" s="6">
        <f t="shared" si="1"/>
        <v>72.105974552602262</v>
      </c>
    </row>
    <row r="18" spans="1:18" x14ac:dyDescent="0.25">
      <c r="A18" s="1" t="s">
        <v>22</v>
      </c>
      <c r="B18" s="4">
        <f>SUM(B6:B17)</f>
        <v>682317</v>
      </c>
      <c r="C18" s="4">
        <f>SUM(C6:C17)</f>
        <v>1204508.05</v>
      </c>
      <c r="D18" s="4">
        <f t="shared" ref="D18:F18" si="2">SUM(D6:D17)</f>
        <v>589609.58799999999</v>
      </c>
      <c r="E18" s="4">
        <f t="shared" si="2"/>
        <v>104247077</v>
      </c>
      <c r="F18" s="4">
        <f t="shared" si="2"/>
        <v>98051.482000000004</v>
      </c>
      <c r="G18" s="4">
        <f>SUM(G6:G17)</f>
        <v>113020.11900000001</v>
      </c>
      <c r="H18" s="7">
        <f t="shared" ref="H18" si="3">F18/G18*100</f>
        <v>86.75577664185613</v>
      </c>
      <c r="I18" s="7">
        <f t="shared" ref="I18:O18" si="4">SUM(I6:I17)</f>
        <v>295992.92199999996</v>
      </c>
      <c r="J18" s="7">
        <f t="shared" si="4"/>
        <v>30647.676000000003</v>
      </c>
      <c r="K18" s="7">
        <f t="shared" si="4"/>
        <v>326640.598</v>
      </c>
      <c r="L18" s="7">
        <f t="shared" si="4"/>
        <v>8823.5807659999991</v>
      </c>
      <c r="M18" s="7">
        <f t="shared" si="4"/>
        <v>349.95846500000005</v>
      </c>
      <c r="N18" s="7">
        <f t="shared" si="4"/>
        <v>27.338317000000007</v>
      </c>
      <c r="O18" s="7">
        <f t="shared" si="4"/>
        <v>9200.8775480000004</v>
      </c>
      <c r="P18" s="7">
        <f>SUM(P6:P17)</f>
        <v>12589.958226999999</v>
      </c>
      <c r="Q18" s="7">
        <f t="shared" ref="Q18" si="5">O18/P18*100</f>
        <v>73.081080827322438</v>
      </c>
    </row>
    <row r="19" spans="1:18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4" spans="1:18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2:18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2:18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2:18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2:18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2:18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2022-04-26T05:37:57Z</cp:lastPrinted>
  <dcterms:created xsi:type="dcterms:W3CDTF">2018-10-29T04:00:07Z</dcterms:created>
  <dcterms:modified xsi:type="dcterms:W3CDTF">2025-11-11T09:14:39Z</dcterms:modified>
</cp:coreProperties>
</file>