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Yearly Report (2018-19)\Domestic final 22.5.2020\EXCELs\BLUEDART\"/>
    </mc:Choice>
  </mc:AlternateContent>
  <bookViews>
    <workbookView xWindow="-120" yWindow="-120" windowWidth="20736" windowHeight="11160"/>
  </bookViews>
  <sheets>
    <sheet name="BLUEDART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6" l="1"/>
  <c r="Q8" i="6"/>
  <c r="Q9" i="6"/>
  <c r="Q10" i="6"/>
  <c r="Q11" i="6"/>
  <c r="Q12" i="6"/>
  <c r="Q13" i="6"/>
  <c r="Q14" i="6"/>
  <c r="Q15" i="6"/>
  <c r="Q16" i="6"/>
  <c r="Q17" i="6"/>
  <c r="Q18" i="6"/>
  <c r="Q6" i="6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<sst xmlns="http://schemas.openxmlformats.org/spreadsheetml/2006/main" count="26" uniqueCount="24">
  <si>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</si>
  <si>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</si>
  <si>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</si>
  <si>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</si>
  <si>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</si>
  <si>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</si>
  <si>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</si>
  <si>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</si>
  <si>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</si>
  <si>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</si>
  <si>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</si>
  <si>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</si>
  <si>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</si>
  <si>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</si>
  <si>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</si>
  <si>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</si>
  <si>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</si>
  <si>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</si>
  <si>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</si>
  <si>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2018-19</t>
  </si>
  <si>
    <t xml:space="preserve">तालिका 1.01 (ब्लू डार्ट) </t>
  </si>
  <si>
    <t>Table 1.01 (BLUE DART)</t>
  </si>
  <si>
    <t>MONTHLY TRAFFIC AND OPERATING STATISTICS OF BLUE DART ON SCHEDULED DOMESTIC SERVICES DURING 2018-19</t>
  </si>
  <si>
    <t>SOURCE:-  ICAO ATR FORM 'A' FURNISHED BY BLUE DART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</si>
</sst>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#,##0.0"/>
    <numFmt numFmtId="167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6">
    <xf numFmtId="0" fontId="0" fillId="0" borderId="0" xfId="0"/>
    <xf numFmtId="0" fontId="4" fillId="5" borderId="1" xfId="4" applyFont="1" applyBorder="1" applyAlignment="1" applyProtection="1">
      <alignment horizontal="center" vertical="center" wrapText="1"/>
    </xf>
    <xf numFmtId="164" fontId="3" fillId="5" borderId="1" xfId="4" applyNumberForma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3" fontId="4" fillId="5" borderId="1" xfId="4" applyNumberFormat="1" applyFont="1" applyBorder="1" applyAlignment="1" applyProtection="1">
      <alignment horizontal="right" vertical="center" wrapText="1"/>
    </xf>
    <xf numFmtId="165" fontId="3" fillId="5" borderId="1" xfId="4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166" fontId="4" fillId="5" borderId="1" xfId="4" applyNumberFormat="1" applyFont="1" applyBorder="1" applyAlignment="1" applyProtection="1">
      <alignment horizontal="right" vertical="center" wrapText="1"/>
    </xf>
    <xf numFmtId="17" fontId="3" fillId="5" borderId="1" xfId="4" applyNumberFormat="1" applyFont="1" applyBorder="1" applyAlignment="1" applyProtection="1">
      <alignment horizontal="center" vertical="center" wrapText="1"/>
    </xf>
    <xf numFmtId="17" fontId="2" fillId="2" borderId="1" xfId="0" applyNumberFormat="1" applyFont="1" applyFill="1" applyBorder="1" applyAlignment="1" applyProtection="1">
      <alignment horizontal="center" vertical="center" wrapText="1"/>
    </xf>
    <xf numFmtId="0" fontId="5" fillId="3" borderId="1" xfId="2" applyBorder="1" applyAlignment="1" applyProtection="1">
      <alignment horizontal="center" vertical="center" textRotation="90" wrapText="1"/>
    </xf>
    <xf numFmtId="167" fontId="3" fillId="4" borderId="1" xfId="3" applyNumberFormat="1" applyBorder="1" applyAlignment="1" applyProtection="1">
      <alignment horizontal="center" vertical="center" wrapText="1"/>
    </xf>
    <xf numFmtId="167" fontId="4" fillId="4" borderId="1" xfId="3" applyNumberFormat="1" applyFont="1" applyBorder="1" applyAlignment="1" applyProtection="1">
      <alignment horizontal="center" vertical="center" wrapText="1"/>
    </xf>
    <xf numFmtId="164" fontId="0" fillId="6" borderId="1" xfId="1" applyNumberFormat="1" applyFont="1" applyFill="1" applyBorder="1" applyAlignment="1">
      <alignment horizontal="right" vertical="center"/>
    </xf>
    <xf numFmtId="164" fontId="3" fillId="6" borderId="1" xfId="4" applyNumberFormat="1" applyFill="1" applyBorder="1" applyAlignment="1">
      <alignment horizontal="right" vertical="center"/>
    </xf>
    <xf numFmtId="0" fontId="5" fillId="3" borderId="1" xfId="2" applyBorder="1" applyAlignment="1" applyProtection="1">
      <alignment horizontal="center" vertical="center" textRotation="90" wrapText="1"/>
    </xf>
    <xf numFmtId="0" fontId="5" fillId="3" borderId="1" xfId="2" applyBorder="1" applyAlignment="1">
      <alignment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0" fillId="5" borderId="1" xfId="4" applyFont="1" applyBorder="1" applyAlignment="1">
      <alignment horizontal="center" vertical="center" wrapText="1"/>
    </xf>
    <xf numFmtId="0" fontId="3" fillId="5" borderId="1" xfId="4" applyBorder="1" applyAlignment="1">
      <alignment horizontal="center" vertical="center" wrapText="1"/>
    </xf>
    <xf numFmtId="0" fontId="0" fillId="5" borderId="1" xfId="4" quotePrefix="1" applyFont="1" applyBorder="1" applyAlignment="1" applyProtection="1">
      <alignment horizontal="center" vertical="center" wrapText="1"/>
    </xf>
    <xf numFmtId="0" fontId="3" fillId="5" borderId="1" xfId="4" applyBorder="1"/>
    <xf numFmtId="0" fontId="5" fillId="3" borderId="1" xfId="2" applyBorder="1" applyAlignment="1" applyProtection="1">
      <alignment horizontal="center" vertical="center" wrapText="1"/>
    </xf>
    <xf numFmtId="0" fontId="5" fillId="3" borderId="1" xfId="2" applyBorder="1"/>
  </cellXfs>
  <cellStyles count="5">
    <cellStyle name="20% - Accent2" xfId="3" builtinId="34"/>
    <cellStyle name="40% - Accent2" xfId="4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workbookViewId="0">
      <selection activeCell="Q18" sqref="Q18"/>
    </sheetView>
  </sheetViews>
  <sheetFormatPr defaultRowHeight="14.4" x14ac:dyDescent="0.3"/>
  <cols>
    <col min="2" max="2" width="6.33203125" customWidth="1"/>
    <col min="3" max="3" width="7.44140625" customWidth="1"/>
    <col min="4" max="4" width="6.33203125" customWidth="1"/>
    <col min="5" max="5" width="7" customWidth="1"/>
    <col min="6" max="6" width="7.109375" customWidth="1"/>
    <col min="7" max="7" width="8" customWidth="1"/>
    <col min="8" max="8" width="6.109375" customWidth="1"/>
    <col min="9" max="9" width="10" customWidth="1"/>
    <col min="10" max="10" width="6.88671875" customWidth="1"/>
    <col min="11" max="11" width="9.5546875" customWidth="1"/>
    <col min="12" max="12" width="7.5546875" customWidth="1"/>
    <col min="13" max="13" width="8.33203125" customWidth="1"/>
    <col min="14" max="14" width="6.44140625" customWidth="1"/>
    <col min="15" max="15" width="7.5546875" customWidth="1"/>
    <col min="16" max="16" width="7.33203125" customWidth="1"/>
    <col min="17" max="17" width="7.5546875" customWidth="1"/>
  </cols>
  <sheetData>
    <row r="1" spans="1:17" x14ac:dyDescent="0.3">
      <c r="A1" s="20" t="s">
        <v>20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x14ac:dyDescent="0.3">
      <c r="A2" s="22" t="s">
        <v>21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x14ac:dyDescent="0.3">
      <c r="A3" s="24" t="s">
        <v>22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ht="31.2" customHeight="1" x14ac:dyDescent="0.3">
      <c r="A4" s="24" t="s">
        <v>0</v>
      </c>
      <c r="B4" s="24" t="s">
        <v>1</v>
      </c>
      <c r="C4" s="24"/>
      <c r="D4" s="24"/>
      <c r="E4" s="24" t="s">
        <v>2</v>
      </c>
      <c r="F4" s="25"/>
      <c r="G4" s="15" t="s">
        <v>3</v>
      </c>
      <c r="H4" s="15" t="s">
        <v>4</v>
      </c>
      <c r="I4" s="24" t="s">
        <v>5</v>
      </c>
      <c r="J4" s="24"/>
      <c r="K4" s="24"/>
      <c r="L4" s="24" t="s">
        <v>6</v>
      </c>
      <c r="M4" s="24"/>
      <c r="N4" s="24"/>
      <c r="O4" s="24"/>
      <c r="P4" s="15" t="s">
        <v>7</v>
      </c>
      <c r="Q4" s="15" t="s">
        <v>8</v>
      </c>
    </row>
    <row r="5" spans="1:17" ht="113.25" customHeight="1" x14ac:dyDescent="0.3">
      <c r="A5" s="24"/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  <c r="G5" s="16"/>
      <c r="H5" s="16"/>
      <c r="I5" s="10" t="s">
        <v>14</v>
      </c>
      <c r="J5" s="10" t="s">
        <v>15</v>
      </c>
      <c r="K5" s="10" t="s">
        <v>16</v>
      </c>
      <c r="L5" s="10" t="s">
        <v>17</v>
      </c>
      <c r="M5" s="10" t="s">
        <v>18</v>
      </c>
      <c r="N5" s="10" t="s">
        <v>15</v>
      </c>
      <c r="O5" s="10" t="s">
        <v>16</v>
      </c>
      <c r="P5" s="16"/>
      <c r="Q5" s="16"/>
    </row>
    <row r="6" spans="1:17" x14ac:dyDescent="0.3">
      <c r="A6" s="8">
        <v>43191</v>
      </c>
      <c r="B6" s="2">
        <v>472</v>
      </c>
      <c r="C6" s="2">
        <v>854</v>
      </c>
      <c r="D6" s="2">
        <v>474</v>
      </c>
      <c r="E6" s="2">
        <v>0</v>
      </c>
      <c r="F6" s="2">
        <v>0</v>
      </c>
      <c r="G6" s="2">
        <v>0</v>
      </c>
      <c r="H6" s="14">
        <v>0</v>
      </c>
      <c r="I6" s="5">
        <v>9626</v>
      </c>
      <c r="J6" s="5">
        <v>0</v>
      </c>
      <c r="K6" s="5">
        <v>9626</v>
      </c>
      <c r="L6" s="5">
        <v>0</v>
      </c>
      <c r="M6" s="5">
        <v>10.007676999999999</v>
      </c>
      <c r="N6" s="5">
        <v>0</v>
      </c>
      <c r="O6" s="5">
        <v>10.007676999999999</v>
      </c>
      <c r="P6" s="5">
        <v>14.680802</v>
      </c>
      <c r="Q6" s="11">
        <f>O6/P6*100</f>
        <v>68.168462458658581</v>
      </c>
    </row>
    <row r="7" spans="1:17" x14ac:dyDescent="0.3">
      <c r="A7" s="9">
        <v>43221</v>
      </c>
      <c r="B7" s="3">
        <v>497</v>
      </c>
      <c r="C7" s="3">
        <v>906.28300000000002</v>
      </c>
      <c r="D7" s="3">
        <v>496</v>
      </c>
      <c r="E7" s="3">
        <v>0</v>
      </c>
      <c r="F7" s="3">
        <v>0</v>
      </c>
      <c r="G7" s="3">
        <v>0</v>
      </c>
      <c r="H7" s="13">
        <v>0</v>
      </c>
      <c r="I7" s="6">
        <v>10556</v>
      </c>
      <c r="J7" s="6">
        <v>0</v>
      </c>
      <c r="K7" s="6">
        <v>10556</v>
      </c>
      <c r="L7" s="6">
        <v>0</v>
      </c>
      <c r="M7" s="6">
        <v>11.095642</v>
      </c>
      <c r="N7" s="6">
        <v>0</v>
      </c>
      <c r="O7" s="6">
        <v>11.095642</v>
      </c>
      <c r="P7" s="6">
        <v>15.026978</v>
      </c>
      <c r="Q7" s="11">
        <f t="shared" ref="Q7:Q18" si="0">O7/P7*100</f>
        <v>73.838146299275877</v>
      </c>
    </row>
    <row r="8" spans="1:17" x14ac:dyDescent="0.3">
      <c r="A8" s="8">
        <v>43252</v>
      </c>
      <c r="B8" s="2">
        <v>509</v>
      </c>
      <c r="C8" s="2">
        <v>951</v>
      </c>
      <c r="D8" s="2">
        <v>509</v>
      </c>
      <c r="E8" s="2">
        <v>0</v>
      </c>
      <c r="F8" s="2">
        <v>0</v>
      </c>
      <c r="G8" s="2">
        <v>0</v>
      </c>
      <c r="H8" s="14">
        <v>0</v>
      </c>
      <c r="I8" s="5">
        <v>10787</v>
      </c>
      <c r="J8" s="5">
        <v>0</v>
      </c>
      <c r="K8" s="5">
        <v>10787</v>
      </c>
      <c r="L8" s="5">
        <v>0</v>
      </c>
      <c r="M8" s="5">
        <v>11.241961</v>
      </c>
      <c r="N8" s="5">
        <v>0</v>
      </c>
      <c r="O8" s="5">
        <v>11.241961</v>
      </c>
      <c r="P8" s="5">
        <v>15.763712999999999</v>
      </c>
      <c r="Q8" s="11">
        <f t="shared" si="0"/>
        <v>71.315438183884723</v>
      </c>
    </row>
    <row r="9" spans="1:17" x14ac:dyDescent="0.3">
      <c r="A9" s="9">
        <v>43282</v>
      </c>
      <c r="B9" s="3">
        <v>497</v>
      </c>
      <c r="C9" s="3">
        <v>913.41660000000002</v>
      </c>
      <c r="D9" s="3">
        <v>497</v>
      </c>
      <c r="E9" s="3">
        <v>0</v>
      </c>
      <c r="F9" s="3">
        <v>0</v>
      </c>
      <c r="G9" s="3">
        <v>0</v>
      </c>
      <c r="H9" s="13">
        <v>0</v>
      </c>
      <c r="I9" s="6">
        <v>10463</v>
      </c>
      <c r="J9" s="6">
        <v>0</v>
      </c>
      <c r="K9" s="6">
        <v>10463</v>
      </c>
      <c r="L9" s="6">
        <v>0</v>
      </c>
      <c r="M9" s="6">
        <v>10.791806000000001</v>
      </c>
      <c r="N9" s="6">
        <v>0</v>
      </c>
      <c r="O9" s="6">
        <v>10.791806000000001</v>
      </c>
      <c r="P9" s="6">
        <v>15.30945</v>
      </c>
      <c r="Q9" s="11">
        <f t="shared" si="0"/>
        <v>70.491141092593139</v>
      </c>
    </row>
    <row r="10" spans="1:17" x14ac:dyDescent="0.3">
      <c r="A10" s="8">
        <v>43313</v>
      </c>
      <c r="B10" s="2">
        <v>496</v>
      </c>
      <c r="C10" s="2">
        <v>895.91669999999999</v>
      </c>
      <c r="D10" s="2">
        <v>500</v>
      </c>
      <c r="E10" s="2">
        <v>0</v>
      </c>
      <c r="F10" s="2">
        <v>0</v>
      </c>
      <c r="G10" s="2">
        <v>0</v>
      </c>
      <c r="H10" s="14">
        <v>0</v>
      </c>
      <c r="I10" s="5">
        <v>10639</v>
      </c>
      <c r="J10" s="5">
        <v>0</v>
      </c>
      <c r="K10" s="5">
        <v>10639</v>
      </c>
      <c r="L10" s="5">
        <v>0</v>
      </c>
      <c r="M10" s="5">
        <v>11.134</v>
      </c>
      <c r="N10" s="5">
        <v>0</v>
      </c>
      <c r="O10" s="5">
        <v>11.134</v>
      </c>
      <c r="P10" s="5">
        <v>15.412000000000001</v>
      </c>
      <c r="Q10" s="11">
        <f t="shared" si="0"/>
        <v>72.242408512847135</v>
      </c>
    </row>
    <row r="11" spans="1:17" x14ac:dyDescent="0.3">
      <c r="A11" s="9">
        <v>43344</v>
      </c>
      <c r="B11" s="3">
        <v>466</v>
      </c>
      <c r="C11" s="3">
        <v>857.08333000000005</v>
      </c>
      <c r="D11" s="3">
        <v>471</v>
      </c>
      <c r="E11" s="3">
        <v>0</v>
      </c>
      <c r="F11" s="3">
        <v>0</v>
      </c>
      <c r="G11" s="3">
        <v>0</v>
      </c>
      <c r="H11" s="13">
        <v>0</v>
      </c>
      <c r="I11" s="6">
        <v>10260</v>
      </c>
      <c r="J11" s="6">
        <v>0</v>
      </c>
      <c r="K11" s="6">
        <v>10260</v>
      </c>
      <c r="L11" s="6">
        <v>0</v>
      </c>
      <c r="M11" s="6">
        <v>10.756</v>
      </c>
      <c r="N11" s="6">
        <v>0</v>
      </c>
      <c r="O11" s="6">
        <v>10.756</v>
      </c>
      <c r="P11" s="6">
        <v>14.602</v>
      </c>
      <c r="Q11" s="11">
        <f t="shared" si="0"/>
        <v>73.661142309272691</v>
      </c>
    </row>
    <row r="12" spans="1:17" x14ac:dyDescent="0.3">
      <c r="A12" s="8">
        <v>43374</v>
      </c>
      <c r="B12" s="2">
        <v>539</v>
      </c>
      <c r="C12" s="2">
        <v>947.66600000000005</v>
      </c>
      <c r="D12" s="2">
        <v>552</v>
      </c>
      <c r="E12" s="2">
        <v>0</v>
      </c>
      <c r="F12" s="2">
        <v>0</v>
      </c>
      <c r="G12" s="2">
        <v>0</v>
      </c>
      <c r="H12" s="14">
        <v>0</v>
      </c>
      <c r="I12" s="5">
        <v>11238</v>
      </c>
      <c r="J12" s="5">
        <v>0</v>
      </c>
      <c r="K12" s="5">
        <v>11238</v>
      </c>
      <c r="L12" s="5">
        <v>0</v>
      </c>
      <c r="M12" s="5">
        <v>11.776999999999999</v>
      </c>
      <c r="N12" s="5">
        <v>0</v>
      </c>
      <c r="O12" s="5">
        <v>11.776999999999999</v>
      </c>
      <c r="P12" s="5">
        <v>17.177</v>
      </c>
      <c r="Q12" s="11">
        <f t="shared" si="0"/>
        <v>68.562612796180929</v>
      </c>
    </row>
    <row r="13" spans="1:17" x14ac:dyDescent="0.3">
      <c r="A13" s="9">
        <v>43405</v>
      </c>
      <c r="B13" s="3">
        <v>479</v>
      </c>
      <c r="C13" s="3">
        <v>869.16660000000002</v>
      </c>
      <c r="D13" s="3">
        <v>479</v>
      </c>
      <c r="E13" s="3">
        <v>0</v>
      </c>
      <c r="F13" s="3">
        <v>0</v>
      </c>
      <c r="G13" s="3">
        <v>0</v>
      </c>
      <c r="H13" s="13">
        <v>0</v>
      </c>
      <c r="I13" s="6">
        <v>9619</v>
      </c>
      <c r="J13" s="6">
        <v>0</v>
      </c>
      <c r="K13" s="6">
        <v>9619</v>
      </c>
      <c r="L13" s="6">
        <v>0</v>
      </c>
      <c r="M13" s="6">
        <v>9.9537710000000015</v>
      </c>
      <c r="N13" s="6">
        <v>0</v>
      </c>
      <c r="O13" s="6">
        <v>9.9537710000000015</v>
      </c>
      <c r="P13" s="6">
        <v>14.619861</v>
      </c>
      <c r="Q13" s="11">
        <f t="shared" si="0"/>
        <v>68.083896283282044</v>
      </c>
    </row>
    <row r="14" spans="1:17" x14ac:dyDescent="0.3">
      <c r="A14" s="8">
        <v>43435</v>
      </c>
      <c r="B14" s="2">
        <v>488</v>
      </c>
      <c r="C14" s="2">
        <v>885.16660000000002</v>
      </c>
      <c r="D14" s="2">
        <v>487</v>
      </c>
      <c r="E14" s="2">
        <v>0</v>
      </c>
      <c r="F14" s="2">
        <v>0</v>
      </c>
      <c r="G14" s="2">
        <v>0</v>
      </c>
      <c r="H14" s="14">
        <v>0</v>
      </c>
      <c r="I14" s="5">
        <v>10099</v>
      </c>
      <c r="J14" s="5">
        <v>0</v>
      </c>
      <c r="K14" s="5">
        <v>10099</v>
      </c>
      <c r="L14" s="5">
        <v>0</v>
      </c>
      <c r="M14" s="5">
        <v>10.381619000000001</v>
      </c>
      <c r="N14" s="5">
        <v>0</v>
      </c>
      <c r="O14" s="5">
        <v>10.381619000000001</v>
      </c>
      <c r="P14" s="5">
        <v>14.763326999999999</v>
      </c>
      <c r="Q14" s="11">
        <f t="shared" si="0"/>
        <v>70.320321428902858</v>
      </c>
    </row>
    <row r="15" spans="1:17" x14ac:dyDescent="0.3">
      <c r="A15" s="9">
        <v>43466</v>
      </c>
      <c r="B15" s="3">
        <v>467</v>
      </c>
      <c r="C15" s="3">
        <v>840.41600000000005</v>
      </c>
      <c r="D15" s="3">
        <v>460</v>
      </c>
      <c r="E15" s="3">
        <v>0</v>
      </c>
      <c r="F15" s="3">
        <v>0</v>
      </c>
      <c r="G15" s="3">
        <v>0</v>
      </c>
      <c r="H15" s="13">
        <v>0</v>
      </c>
      <c r="I15" s="6">
        <v>9314</v>
      </c>
      <c r="J15" s="6">
        <v>0</v>
      </c>
      <c r="K15" s="6">
        <v>9314</v>
      </c>
      <c r="L15" s="6">
        <v>0</v>
      </c>
      <c r="M15" s="6">
        <v>9.50915</v>
      </c>
      <c r="N15" s="6">
        <v>0</v>
      </c>
      <c r="O15" s="6">
        <v>9.50915</v>
      </c>
      <c r="P15" s="6">
        <v>13.929529</v>
      </c>
      <c r="Q15" s="11">
        <f t="shared" si="0"/>
        <v>68.266127304089025</v>
      </c>
    </row>
    <row r="16" spans="1:17" x14ac:dyDescent="0.3">
      <c r="A16" s="8">
        <v>43497</v>
      </c>
      <c r="B16" s="2">
        <v>432</v>
      </c>
      <c r="C16" s="2">
        <v>771.83299999999997</v>
      </c>
      <c r="D16" s="2">
        <v>424</v>
      </c>
      <c r="E16" s="2">
        <v>0</v>
      </c>
      <c r="F16" s="2">
        <v>0</v>
      </c>
      <c r="G16" s="2">
        <v>0</v>
      </c>
      <c r="H16" s="14">
        <v>0</v>
      </c>
      <c r="I16" s="5">
        <v>8593</v>
      </c>
      <c r="J16" s="5">
        <v>0</v>
      </c>
      <c r="K16" s="5">
        <v>8593</v>
      </c>
      <c r="L16" s="5">
        <v>0</v>
      </c>
      <c r="M16" s="5">
        <v>8.7337790000000002</v>
      </c>
      <c r="N16" s="5">
        <v>0</v>
      </c>
      <c r="O16" s="5">
        <v>8.7337790000000002</v>
      </c>
      <c r="P16" s="5">
        <v>12.947940000000001</v>
      </c>
      <c r="Q16" s="11">
        <f t="shared" si="0"/>
        <v>67.453038861780328</v>
      </c>
    </row>
    <row r="17" spans="1:17" x14ac:dyDescent="0.3">
      <c r="A17" s="9">
        <v>43525</v>
      </c>
      <c r="B17" s="3">
        <v>464</v>
      </c>
      <c r="C17" s="3">
        <v>860.08330000000001</v>
      </c>
      <c r="D17" s="3">
        <v>461</v>
      </c>
      <c r="E17" s="3">
        <v>0</v>
      </c>
      <c r="F17" s="3">
        <v>0</v>
      </c>
      <c r="G17" s="3">
        <v>0</v>
      </c>
      <c r="H17" s="13">
        <v>0</v>
      </c>
      <c r="I17" s="6">
        <v>9558</v>
      </c>
      <c r="J17" s="6">
        <v>0</v>
      </c>
      <c r="K17" s="6">
        <v>9558</v>
      </c>
      <c r="L17" s="6">
        <v>0</v>
      </c>
      <c r="M17" s="6">
        <v>9.8140000000000001</v>
      </c>
      <c r="N17" s="6">
        <v>0</v>
      </c>
      <c r="O17" s="6">
        <v>9.8140000000000001</v>
      </c>
      <c r="P17" s="6">
        <v>14.262</v>
      </c>
      <c r="Q17" s="11">
        <f t="shared" si="0"/>
        <v>68.812228298976294</v>
      </c>
    </row>
    <row r="18" spans="1:17" x14ac:dyDescent="0.3">
      <c r="A18" s="1" t="s">
        <v>19</v>
      </c>
      <c r="B18" s="4">
        <v>5806</v>
      </c>
      <c r="C18" s="4">
        <v>10552.031130000001</v>
      </c>
      <c r="D18" s="4">
        <v>5810</v>
      </c>
      <c r="E18" s="4">
        <v>0</v>
      </c>
      <c r="F18" s="4">
        <v>0</v>
      </c>
      <c r="G18" s="4">
        <v>0</v>
      </c>
      <c r="H18" s="14">
        <v>0</v>
      </c>
      <c r="I18" s="7">
        <v>120752</v>
      </c>
      <c r="J18" s="7">
        <v>0</v>
      </c>
      <c r="K18" s="7">
        <v>120752</v>
      </c>
      <c r="L18" s="7">
        <v>0</v>
      </c>
      <c r="M18" s="7">
        <v>125.196405</v>
      </c>
      <c r="N18" s="7">
        <v>0</v>
      </c>
      <c r="O18" s="7">
        <v>125.196405</v>
      </c>
      <c r="P18" s="7">
        <v>178.49459999999999</v>
      </c>
      <c r="Q18" s="12">
        <f t="shared" si="0"/>
        <v>70.140163904118111</v>
      </c>
    </row>
    <row r="19" spans="1:17" x14ac:dyDescent="0.3">
      <c r="A19" s="17" t="s">
        <v>23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9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BLUEDART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2020-05-06T11:03:48Z</cp:lastPrinted>
  <dcterms:created xsi:type="dcterms:W3CDTF">2018-10-29T04:00:07Z</dcterms:created>
  <dcterms:modified xsi:type="dcterms:W3CDTF">2020-06-03T10:57:10Z</dcterms:modified>
</cp:coreProperties>
</file>