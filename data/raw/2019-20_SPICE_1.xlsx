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xWindow="0" yWindow="0" windowWidth="24000" windowHeight="9435"/>
  </bookViews>
  <sheets>
    <sheet name="SPICEJET" sheetId="1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3" l="1"/>
  <c r="Q8" i="13"/>
  <c r="Q9" i="13"/>
  <c r="Q10" i="13"/>
  <c r="Q11" i="13"/>
  <c r="Q12" i="13"/>
  <c r="Q13" i="13"/>
  <c r="Q14" i="13"/>
  <c r="Q15" i="13"/>
  <c r="Q16" i="13"/>
  <c r="Q17" i="13"/>
  <c r="Q6" i="13"/>
  <c r="H7" i="13"/>
  <c r="H8" i="13"/>
  <c r="H9" i="13"/>
  <c r="H10" i="13"/>
  <c r="H11" i="13"/>
  <c r="H12" i="13"/>
  <c r="H13" i="13"/>
  <c r="H14" i="13"/>
  <c r="H15" i="13"/>
  <c r="H16" i="13"/>
  <c r="H17" i="13"/>
  <c r="H6" i="13"/>
  <c r="I18" i="13" l="1"/>
  <c r="C18" i="13"/>
  <c r="B18" i="13"/>
  <c r="P18" i="13"/>
  <c r="O18" i="13"/>
  <c r="Q18" i="13" s="1"/>
  <c r="M18" i="13"/>
  <c r="L18" i="13"/>
  <c r="K18" i="13"/>
  <c r="G18" i="13"/>
  <c r="F18" i="13"/>
  <c r="H18" i="13" s="1"/>
  <c r="E18" i="13"/>
  <c r="D18" i="1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<sst xmlns="http://schemas.openxmlformats.org/spreadsheetml/2006/main" count="26" uniqueCount="24">
  <si>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</si>
  <si>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</si>
  <si>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</si>
  <si>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</si>
  <si>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</si>
  <si>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</si>
  <si>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</si>
  <si>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</si>
  <si>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</si>
  <si>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</si>
  <si>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</si>
  <si>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</si>
  <si>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</si>
  <si>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</si>
  <si>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</si>
  <si>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</si>
  <si>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</si>
  <si>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</si>
  <si>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</si>
  <si>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(स्पाइसजेट) </t>
  </si>
  <si>
    <t>Table 1.01 (SPICEJET)</t>
  </si>
  <si>
    <t>SOURCE:-  ICAO ATR FORM 'A' FURNISHED BY SPICEJET</t>
  </si>
  <si>
    <t>2019-20</t>
  </si>
  <si>
    <t>MONTHLY TRAFFIC AND OPERATING STATISTICS OF SPICEJET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</si>
</sst>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="112" zoomScaleNormal="112" workbookViewId="0">
      <selection activeCell="S4" sqref="S4"/>
    </sheetView>
  </sheetViews>
  <sheetFormatPr defaultRowHeight="15" x14ac:dyDescent="0.25"/>
  <cols>
    <col min="1" max="1" width="8.140625" customWidth="1"/>
    <col min="2" max="3" width="8" customWidth="1"/>
    <col min="4" max="4" width="8.42578125" customWidth="1"/>
    <col min="5" max="5" width="10.7109375" customWidth="1"/>
    <col min="6" max="6" width="7.140625" customWidth="1"/>
    <col min="7" max="7" width="7.85546875" customWidth="1"/>
    <col min="8" max="8" width="6.42578125" customWidth="1"/>
    <col min="9" max="9" width="9.5703125" customWidth="1"/>
    <col min="10" max="10" width="4.85546875" customWidth="1"/>
    <col min="11" max="11" width="10.42578125" customWidth="1"/>
    <col min="12" max="12" width="7.5703125" customWidth="1"/>
    <col min="13" max="13" width="6" customWidth="1"/>
    <col min="14" max="14" width="4.85546875" customWidth="1"/>
    <col min="15" max="15" width="7.7109375" customWidth="1"/>
    <col min="16" max="16" width="7.28515625" customWidth="1"/>
    <col min="17" max="17" width="6.57031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0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24.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11983</v>
      </c>
      <c r="C6" s="2">
        <v>16146</v>
      </c>
      <c r="D6" s="2">
        <v>9292.74</v>
      </c>
      <c r="E6" s="2">
        <v>1440598</v>
      </c>
      <c r="F6" s="2">
        <v>1317.6333319999999</v>
      </c>
      <c r="G6" s="2">
        <v>1405.6573130000002</v>
      </c>
      <c r="H6" s="5">
        <f>F6/G6*100</f>
        <v>93.737877633052918</v>
      </c>
      <c r="I6" s="5">
        <v>7624.2513300000001</v>
      </c>
      <c r="J6" s="5">
        <v>0</v>
      </c>
      <c r="K6" s="5">
        <v>7624.2513300000001</v>
      </c>
      <c r="L6" s="5">
        <v>98.822500000000005</v>
      </c>
      <c r="M6" s="5">
        <v>7.0181499999999994</v>
      </c>
      <c r="N6" s="5">
        <v>0</v>
      </c>
      <c r="O6" s="5">
        <v>105.84065</v>
      </c>
      <c r="P6" s="5">
        <v>123.30476</v>
      </c>
      <c r="Q6" s="5">
        <f>O6/P6*100</f>
        <v>85.83662950238093</v>
      </c>
    </row>
    <row r="7" spans="1:17" x14ac:dyDescent="0.25">
      <c r="A7" s="9">
        <v>43586</v>
      </c>
      <c r="B7" s="3">
        <v>14773</v>
      </c>
      <c r="C7" s="3">
        <v>20854</v>
      </c>
      <c r="D7" s="3">
        <v>12222.040999999999</v>
      </c>
      <c r="E7" s="3">
        <v>1802705</v>
      </c>
      <c r="F7" s="3">
        <v>1728.070602</v>
      </c>
      <c r="G7" s="3">
        <v>1841.0239410000001</v>
      </c>
      <c r="H7" s="6">
        <f t="shared" ref="H7:H18" si="0">F7/G7*100</f>
        <v>93.864645837324275</v>
      </c>
      <c r="I7" s="6">
        <v>9149.3299060529971</v>
      </c>
      <c r="J7" s="6">
        <v>0</v>
      </c>
      <c r="K7" s="6">
        <v>9149.3299060529971</v>
      </c>
      <c r="L7" s="6">
        <v>129.60529536000001</v>
      </c>
      <c r="M7" s="6">
        <v>9.8605313600000013</v>
      </c>
      <c r="N7" s="6">
        <v>0</v>
      </c>
      <c r="O7" s="6">
        <v>139.46582672000002</v>
      </c>
      <c r="P7" s="6">
        <v>166.6819485</v>
      </c>
      <c r="Q7" s="6">
        <f t="shared" ref="Q7:Q18" si="1">O7/P7*100</f>
        <v>83.6718240787784</v>
      </c>
    </row>
    <row r="8" spans="1:17" x14ac:dyDescent="0.25">
      <c r="A8" s="8">
        <v>43617</v>
      </c>
      <c r="B8" s="2">
        <v>15208</v>
      </c>
      <c r="C8" s="2">
        <v>21867</v>
      </c>
      <c r="D8" s="2">
        <v>12868.19</v>
      </c>
      <c r="E8" s="2">
        <v>1875606</v>
      </c>
      <c r="F8" s="2">
        <v>1818.3489999999999</v>
      </c>
      <c r="G8" s="2">
        <v>1940.6610000000001</v>
      </c>
      <c r="H8" s="5">
        <f t="shared" si="0"/>
        <v>93.697405162467831</v>
      </c>
      <c r="I8" s="5">
        <v>9841.6535100000019</v>
      </c>
      <c r="J8" s="5">
        <v>0</v>
      </c>
      <c r="K8" s="5">
        <v>9841.6535100000019</v>
      </c>
      <c r="L8" s="5">
        <v>136.376</v>
      </c>
      <c r="M8" s="5">
        <v>10.657</v>
      </c>
      <c r="N8" s="5">
        <v>0</v>
      </c>
      <c r="O8" s="5">
        <v>147.03299999999999</v>
      </c>
      <c r="P8" s="5">
        <v>177.851</v>
      </c>
      <c r="Q8" s="5">
        <f t="shared" si="1"/>
        <v>82.672011965071874</v>
      </c>
    </row>
    <row r="9" spans="1:17" x14ac:dyDescent="0.25">
      <c r="A9" s="9">
        <v>43647</v>
      </c>
      <c r="B9" s="3">
        <v>15005</v>
      </c>
      <c r="C9" s="3">
        <v>21954</v>
      </c>
      <c r="D9" s="3">
        <v>12812.882</v>
      </c>
      <c r="E9" s="3">
        <v>1847629</v>
      </c>
      <c r="F9" s="3">
        <v>1788.80051</v>
      </c>
      <c r="G9" s="3">
        <v>1935.8185120000001</v>
      </c>
      <c r="H9" s="6">
        <f t="shared" si="0"/>
        <v>92.405382989745888</v>
      </c>
      <c r="I9" s="6">
        <v>10706.190819999996</v>
      </c>
      <c r="J9" s="6">
        <v>0</v>
      </c>
      <c r="K9" s="6">
        <v>10706.190819999996</v>
      </c>
      <c r="L9" s="6">
        <v>134.16003863</v>
      </c>
      <c r="M9" s="6">
        <v>11.37518547</v>
      </c>
      <c r="N9" s="6">
        <v>0</v>
      </c>
      <c r="O9" s="6">
        <v>145.53522409999999</v>
      </c>
      <c r="P9" s="6">
        <v>177.65292650000001</v>
      </c>
      <c r="Q9" s="6">
        <f t="shared" si="1"/>
        <v>81.92109579461389</v>
      </c>
    </row>
    <row r="10" spans="1:17" x14ac:dyDescent="0.25">
      <c r="A10" s="8">
        <v>43678</v>
      </c>
      <c r="B10" s="2">
        <v>14603</v>
      </c>
      <c r="C10" s="2">
        <v>21459</v>
      </c>
      <c r="D10" s="2">
        <v>12644.251</v>
      </c>
      <c r="E10" s="2">
        <v>1833644</v>
      </c>
      <c r="F10" s="2">
        <v>1782.9770859999999</v>
      </c>
      <c r="G10" s="2">
        <v>1928.853803</v>
      </c>
      <c r="H10" s="5">
        <f t="shared" si="0"/>
        <v>92.437129409542905</v>
      </c>
      <c r="I10" s="5">
        <v>11256.840599999996</v>
      </c>
      <c r="J10" s="5">
        <v>0</v>
      </c>
      <c r="K10" s="5">
        <v>11256.840599999996</v>
      </c>
      <c r="L10" s="5">
        <v>133.72328177999998</v>
      </c>
      <c r="M10" s="5">
        <v>11.7790833</v>
      </c>
      <c r="N10" s="5">
        <v>0</v>
      </c>
      <c r="O10" s="5">
        <v>145.50236507999998</v>
      </c>
      <c r="P10" s="5">
        <v>176.362697</v>
      </c>
      <c r="Q10" s="5">
        <f t="shared" si="1"/>
        <v>82.501780453039899</v>
      </c>
    </row>
    <row r="11" spans="1:17" x14ac:dyDescent="0.25">
      <c r="A11" s="9">
        <v>43709</v>
      </c>
      <c r="B11" s="3">
        <v>13543</v>
      </c>
      <c r="C11" s="3">
        <v>19047</v>
      </c>
      <c r="D11" s="3">
        <v>11615.632</v>
      </c>
      <c r="E11" s="3">
        <v>1700367</v>
      </c>
      <c r="F11" s="3">
        <v>1653.697899</v>
      </c>
      <c r="G11" s="3">
        <v>1777.5928359999998</v>
      </c>
      <c r="H11" s="6">
        <f t="shared" si="0"/>
        <v>93.030184725609473</v>
      </c>
      <c r="I11" s="6">
        <v>10962.86</v>
      </c>
      <c r="J11" s="6">
        <v>0</v>
      </c>
      <c r="K11" s="6">
        <v>10962.86</v>
      </c>
      <c r="L11" s="6">
        <v>124.02734282</v>
      </c>
      <c r="M11" s="6">
        <v>11.384572599999899</v>
      </c>
      <c r="N11" s="6">
        <v>0</v>
      </c>
      <c r="O11" s="6">
        <v>135.41191541999993</v>
      </c>
      <c r="P11" s="6">
        <v>161.65464300000002</v>
      </c>
      <c r="Q11" s="6">
        <f t="shared" si="1"/>
        <v>83.766177640811662</v>
      </c>
    </row>
    <row r="12" spans="1:17" x14ac:dyDescent="0.25">
      <c r="A12" s="8">
        <v>43739</v>
      </c>
      <c r="B12" s="2">
        <v>16098</v>
      </c>
      <c r="C12" s="2">
        <v>23727</v>
      </c>
      <c r="D12" s="2">
        <v>14075.107</v>
      </c>
      <c r="E12" s="2">
        <v>2004583</v>
      </c>
      <c r="F12" s="2">
        <v>1985.372914</v>
      </c>
      <c r="G12" s="2">
        <v>2205.3393160000001</v>
      </c>
      <c r="H12" s="5">
        <f t="shared" si="0"/>
        <v>90.025734343730349</v>
      </c>
      <c r="I12" s="5">
        <v>12337.386399999996</v>
      </c>
      <c r="J12" s="5">
        <v>0</v>
      </c>
      <c r="K12" s="5">
        <v>12337.386399999996</v>
      </c>
      <c r="L12" s="5">
        <v>148.90296896999999</v>
      </c>
      <c r="M12" s="5">
        <v>12.18722185</v>
      </c>
      <c r="N12" s="5">
        <v>0</v>
      </c>
      <c r="O12" s="5">
        <v>161.09019081999998</v>
      </c>
      <c r="P12" s="5">
        <v>196.27773350000001</v>
      </c>
      <c r="Q12" s="5">
        <f t="shared" si="1"/>
        <v>82.072575399898824</v>
      </c>
    </row>
    <row r="13" spans="1:17" x14ac:dyDescent="0.25">
      <c r="A13" s="9">
        <v>43770</v>
      </c>
      <c r="B13" s="3">
        <v>16148</v>
      </c>
      <c r="C13" s="3">
        <v>23558</v>
      </c>
      <c r="D13" s="3">
        <v>14385.58</v>
      </c>
      <c r="E13" s="3">
        <v>2080133</v>
      </c>
      <c r="F13" s="3">
        <v>2118.3782370000004</v>
      </c>
      <c r="G13" s="3">
        <v>2283.1711780000001</v>
      </c>
      <c r="H13" s="6">
        <f t="shared" si="0"/>
        <v>92.782278324643443</v>
      </c>
      <c r="I13" s="6">
        <v>10811.584129999996</v>
      </c>
      <c r="J13" s="6">
        <v>0</v>
      </c>
      <c r="K13" s="6">
        <v>10811.584129999996</v>
      </c>
      <c r="L13" s="6">
        <v>158.87836823500001</v>
      </c>
      <c r="M13" s="6">
        <v>11.24779723</v>
      </c>
      <c r="N13" s="6">
        <v>0</v>
      </c>
      <c r="O13" s="6">
        <v>170.12616546499999</v>
      </c>
      <c r="P13" s="6">
        <v>201.30216799999999</v>
      </c>
      <c r="Q13" s="6">
        <f t="shared" si="1"/>
        <v>84.512833197603712</v>
      </c>
    </row>
    <row r="14" spans="1:17" x14ac:dyDescent="0.25">
      <c r="A14" s="8">
        <v>43800</v>
      </c>
      <c r="B14" s="2">
        <v>16639</v>
      </c>
      <c r="C14" s="2">
        <v>25364</v>
      </c>
      <c r="D14" s="2">
        <v>14944.214</v>
      </c>
      <c r="E14" s="2">
        <v>2144156</v>
      </c>
      <c r="F14" s="2">
        <v>2201.9858549999999</v>
      </c>
      <c r="G14" s="2">
        <v>2374.1861730000001</v>
      </c>
      <c r="H14" s="5">
        <f t="shared" si="0"/>
        <v>92.746974944159106</v>
      </c>
      <c r="I14" s="5">
        <v>13282.524510000008</v>
      </c>
      <c r="J14" s="5">
        <v>0</v>
      </c>
      <c r="K14" s="5">
        <v>13282.524510000008</v>
      </c>
      <c r="L14" s="5">
        <v>165.14893953999999</v>
      </c>
      <c r="M14" s="5">
        <v>14.00206034</v>
      </c>
      <c r="N14" s="5">
        <v>0</v>
      </c>
      <c r="O14" s="5">
        <v>179.15099988</v>
      </c>
      <c r="P14" s="5">
        <v>208.638769</v>
      </c>
      <c r="Q14" s="5">
        <f t="shared" si="1"/>
        <v>85.866591687952294</v>
      </c>
    </row>
    <row r="15" spans="1:17" x14ac:dyDescent="0.25">
      <c r="A15" s="9">
        <v>43831</v>
      </c>
      <c r="B15" s="3">
        <v>16693</v>
      </c>
      <c r="C15" s="3">
        <v>25406.85</v>
      </c>
      <c r="D15" s="3">
        <v>14921.647000000001</v>
      </c>
      <c r="E15" s="3">
        <v>2124455</v>
      </c>
      <c r="F15" s="3">
        <v>2170.8148420000002</v>
      </c>
      <c r="G15" s="3">
        <v>2372.6189520000003</v>
      </c>
      <c r="H15" s="6">
        <f t="shared" si="0"/>
        <v>91.494457640157961</v>
      </c>
      <c r="I15" s="6">
        <v>13795.871039999998</v>
      </c>
      <c r="J15" s="6"/>
      <c r="K15" s="6">
        <v>13795.871039999998</v>
      </c>
      <c r="L15" s="6">
        <v>162.811113675</v>
      </c>
      <c r="M15" s="6">
        <v>13.84373166</v>
      </c>
      <c r="N15" s="6">
        <v>0</v>
      </c>
      <c r="O15" s="6">
        <v>176.654845335</v>
      </c>
      <c r="P15" s="6">
        <v>208.14605950000001</v>
      </c>
      <c r="Q15" s="6">
        <f t="shared" si="1"/>
        <v>84.870617180720629</v>
      </c>
    </row>
    <row r="16" spans="1:17" x14ac:dyDescent="0.25">
      <c r="A16" s="8">
        <v>43862</v>
      </c>
      <c r="B16" s="2">
        <v>14907</v>
      </c>
      <c r="C16" s="2">
        <v>22321.816666666666</v>
      </c>
      <c r="D16" s="2">
        <v>12970.659</v>
      </c>
      <c r="E16" s="2">
        <v>1890633</v>
      </c>
      <c r="F16" s="2">
        <v>1884.852114</v>
      </c>
      <c r="G16" s="2">
        <v>2026.1872290000001</v>
      </c>
      <c r="H16" s="5">
        <f t="shared" si="0"/>
        <v>93.024577740046539</v>
      </c>
      <c r="I16" s="5">
        <v>12350.904860000004</v>
      </c>
      <c r="J16" s="5"/>
      <c r="K16" s="5">
        <v>12350.904860000004</v>
      </c>
      <c r="L16" s="5">
        <v>141.36390874</v>
      </c>
      <c r="M16" s="5">
        <v>12.08141571</v>
      </c>
      <c r="N16" s="5">
        <v>0</v>
      </c>
      <c r="O16" s="5">
        <v>153.44532445000002</v>
      </c>
      <c r="P16" s="5">
        <v>176.97422399999999</v>
      </c>
      <c r="Q16" s="5">
        <f t="shared" si="1"/>
        <v>86.704900285365866</v>
      </c>
    </row>
    <row r="17" spans="1:17" x14ac:dyDescent="0.25">
      <c r="A17" s="9">
        <v>43891</v>
      </c>
      <c r="B17" s="3">
        <v>10999</v>
      </c>
      <c r="C17" s="3">
        <v>16232.25</v>
      </c>
      <c r="D17" s="3">
        <v>9509.1299999999992</v>
      </c>
      <c r="E17" s="3">
        <v>1245208</v>
      </c>
      <c r="F17" s="3">
        <v>1246.1627879999999</v>
      </c>
      <c r="G17" s="3">
        <v>1489.2327579999999</v>
      </c>
      <c r="H17" s="6">
        <f t="shared" si="0"/>
        <v>83.678174637627734</v>
      </c>
      <c r="I17" s="6">
        <v>8909.9472900000037</v>
      </c>
      <c r="J17" s="6"/>
      <c r="K17" s="6">
        <v>8909.9472900000037</v>
      </c>
      <c r="L17" s="6">
        <v>93.462209494999897</v>
      </c>
      <c r="M17" s="6">
        <v>7.4821008899999999</v>
      </c>
      <c r="N17" s="6">
        <v>0</v>
      </c>
      <c r="O17" s="6">
        <v>100.94431038499991</v>
      </c>
      <c r="P17" s="6">
        <v>129.75412399999999</v>
      </c>
      <c r="Q17" s="6">
        <f t="shared" si="1"/>
        <v>77.796610445306484</v>
      </c>
    </row>
    <row r="18" spans="1:17" x14ac:dyDescent="0.25">
      <c r="A18" s="1" t="s">
        <v>22</v>
      </c>
      <c r="B18" s="4">
        <f>SUM(B6:B17)</f>
        <v>176599</v>
      </c>
      <c r="C18" s="4">
        <f t="shared" ref="C18:G18" si="2">SUM(C6:C17)</f>
        <v>257936.91666666669</v>
      </c>
      <c r="D18" s="4">
        <f t="shared" si="2"/>
        <v>152262.07299999997</v>
      </c>
      <c r="E18" s="4">
        <f t="shared" si="2"/>
        <v>21989717</v>
      </c>
      <c r="F18" s="4">
        <f t="shared" si="2"/>
        <v>21697.095179000004</v>
      </c>
      <c r="G18" s="4">
        <f t="shared" si="2"/>
        <v>23580.343010999997</v>
      </c>
      <c r="H18" s="7">
        <f t="shared" si="0"/>
        <v>92.013484150245489</v>
      </c>
      <c r="I18" s="7">
        <f t="shared" ref="I18:P18" si="3">SUM(I6:I17)</f>
        <v>131029.344396053</v>
      </c>
      <c r="J18" s="7"/>
      <c r="K18" s="7">
        <f t="shared" si="3"/>
        <v>131029.344396053</v>
      </c>
      <c r="L18" s="7">
        <f t="shared" si="3"/>
        <v>1627.2819672449996</v>
      </c>
      <c r="M18" s="7">
        <f t="shared" si="3"/>
        <v>132.91885040999992</v>
      </c>
      <c r="N18" s="7"/>
      <c r="O18" s="7">
        <f t="shared" si="3"/>
        <v>1760.2008176549998</v>
      </c>
      <c r="P18" s="7">
        <f t="shared" si="3"/>
        <v>2104.6010529999999</v>
      </c>
      <c r="Q18" s="7">
        <f t="shared" si="1"/>
        <v>83.635842296378442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2021-09-15T01:07:15Z</cp:lastPrinted>
  <dcterms:created xsi:type="dcterms:W3CDTF">2018-10-29T04:00:07Z</dcterms:created>
  <dcterms:modified xsi:type="dcterms:W3CDTF">2021-09-15T01:07:24Z</dcterms:modified>
</cp:coreProperties>
</file>