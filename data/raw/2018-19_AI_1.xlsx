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IR INDIA\"/>
    </mc:Choice>
  </mc:AlternateContent>
  <bookViews>
    <workbookView xWindow="-120" yWindow="-120" windowWidth="20736" windowHeight="11160"/>
  </bookViews>
  <sheets>
    <sheet name="AIR INDIA" sheetId="2" r:id="rId1"/>
  </sheets>
  <calcPr calcId="191029" iterateDelta="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2" l="1"/>
  <c r="Q8" i="2"/>
  <c r="Q9" i="2"/>
  <c r="Q10" i="2"/>
  <c r="Q11" i="2"/>
  <c r="Q12" i="2"/>
  <c r="Q13" i="2"/>
  <c r="Q14" i="2"/>
  <c r="Q15" i="2"/>
  <c r="Q16" i="2"/>
  <c r="Q17" i="2"/>
  <c r="Q18" i="2"/>
  <c r="Q6" i="2"/>
  <c r="H7" i="2"/>
  <c r="H8" i="2"/>
  <c r="H9" i="2"/>
  <c r="H10" i="2"/>
  <c r="H11" i="2"/>
  <c r="H12" i="2"/>
  <c r="H13" i="2"/>
  <c r="H14" i="2"/>
  <c r="H15" i="2"/>
  <c r="H16" i="2"/>
  <c r="H17" i="2"/>
  <c r="H18" i="2"/>
  <c r="H6" i="2"/>
  <c r="P18" i="2" l="1"/>
  <c r="C18" i="2"/>
  <c r="B18" i="2"/>
  <c r="O18" i="2"/>
  <c r="N18" i="2"/>
  <c r="M18" i="2"/>
  <c r="L18" i="2"/>
  <c r="K18" i="2"/>
  <c r="J18" i="2"/>
  <c r="I18" i="2"/>
  <c r="G18" i="2"/>
  <c r="F18" i="2"/>
  <c r="E18" i="2"/>
  <c r="D18" i="2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<sst xmlns="http://schemas.openxmlformats.org/spreadsheetml/2006/main" count="26" uniqueCount="24">
  <si>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</si>
  <si>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</si>
  <si>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</si>
  <si>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</si>
  <si>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</si>
  <si>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</si>
  <si>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</si>
  <si>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</si>
  <si>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</si>
  <si>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</si>
  <si>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</si>
  <si>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</si>
  <si>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</si>
  <si>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</si>
  <si>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</si>
  <si>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</si>
  <si>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</si>
  <si>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</si>
  <si>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</si>
  <si>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</si>
  <si>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1.01 (एयर इंडिया) </t>
  </si>
  <si>
    <t>Table 1.01 (AIR INDIA)</t>
  </si>
  <si>
    <t>MONTHLY TRAFFIC AND OPERATING STATISTICS OF  AIR INDIA ON SCHEDULED DOMESTIC SERVICES DURING 2018-19</t>
  </si>
  <si>
    <t>SOURCE:-  ICAO ATR FORM 'A' FURNISHED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</si>
</sst>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4" fillId="5" borderId="1" xfId="4" applyFon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5" borderId="1" xfId="4" applyNumberFormat="1" applyFont="1" applyBorder="1" applyAlignment="1" applyProtection="1">
      <alignment horizontal="right" vertical="center" wrapText="1"/>
    </xf>
    <xf numFmtId="165" fontId="3" fillId="5" borderId="1" xfId="4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5" borderId="1" xfId="4" applyNumberFormat="1" applyFont="1" applyBorder="1" applyAlignment="1" applyProtection="1">
      <alignment horizontal="right" vertical="center" wrapText="1"/>
    </xf>
    <xf numFmtId="17" fontId="3" fillId="5" borderId="1" xfId="4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167" fontId="3" fillId="4" borderId="1" xfId="5" applyNumberFormat="1" applyFill="1" applyBorder="1" applyAlignment="1" applyProtection="1">
      <alignment horizontal="center" vertical="center" wrapText="1"/>
    </xf>
    <xf numFmtId="167" fontId="4" fillId="4" borderId="1" xfId="5" applyNumberFormat="1" applyFont="1" applyFill="1" applyBorder="1" applyAlignment="1" applyProtection="1">
      <alignment horizontal="center" vertical="center" wrapText="1"/>
    </xf>
    <xf numFmtId="167" fontId="3" fillId="4" borderId="1" xfId="3" applyNumberFormat="1" applyBorder="1" applyAlignment="1" applyProtection="1">
      <alignment horizontal="center" vertical="center" wrapText="1"/>
    </xf>
    <xf numFmtId="167" fontId="4" fillId="4" borderId="1" xfId="3" applyNumberFormat="1" applyFont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6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Q18" sqref="Q18"/>
    </sheetView>
  </sheetViews>
  <sheetFormatPr defaultRowHeight="14.4" x14ac:dyDescent="0.3"/>
  <cols>
    <col min="1" max="2" width="8" customWidth="1"/>
    <col min="3" max="4" width="7.6640625" customWidth="1"/>
    <col min="5" max="5" width="10.44140625" customWidth="1"/>
    <col min="6" max="6" width="7" customWidth="1"/>
    <col min="7" max="7" width="6.6640625" customWidth="1"/>
    <col min="8" max="8" width="6.44140625" customWidth="1"/>
    <col min="9" max="9" width="8.6640625" customWidth="1"/>
    <col min="10" max="10" width="7.6640625" customWidth="1"/>
    <col min="11" max="11" width="8.5546875" customWidth="1"/>
    <col min="12" max="12" width="7.6640625" customWidth="1"/>
    <col min="13" max="14" width="5.109375" customWidth="1"/>
    <col min="15" max="15" width="7.5546875" customWidth="1"/>
    <col min="16" max="16" width="7.109375" customWidth="1"/>
    <col min="17" max="17" width="5.88671875" customWidth="1"/>
  </cols>
  <sheetData>
    <row r="1" spans="1:17" x14ac:dyDescent="0.3">
      <c r="A1" s="20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3">
      <c r="A2" s="22" t="s">
        <v>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3">
      <c r="A3" s="24" t="s">
        <v>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0" customHeight="1" x14ac:dyDescent="0.3">
      <c r="A4" s="24" t="s">
        <v>0</v>
      </c>
      <c r="B4" s="24" t="s">
        <v>1</v>
      </c>
      <c r="C4" s="24"/>
      <c r="D4" s="24"/>
      <c r="E4" s="24" t="s">
        <v>2</v>
      </c>
      <c r="F4" s="25"/>
      <c r="G4" s="15" t="s">
        <v>3</v>
      </c>
      <c r="H4" s="15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5" t="s">
        <v>7</v>
      </c>
      <c r="Q4" s="15" t="s">
        <v>8</v>
      </c>
    </row>
    <row r="5" spans="1:17" ht="115.5" customHeight="1" x14ac:dyDescent="0.3">
      <c r="A5" s="24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6"/>
      <c r="H5" s="16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6"/>
      <c r="Q5" s="16"/>
    </row>
    <row r="6" spans="1:17" x14ac:dyDescent="0.3">
      <c r="A6" s="8">
        <v>43191</v>
      </c>
      <c r="B6" s="2">
        <v>9913</v>
      </c>
      <c r="C6" s="2">
        <v>19068.8</v>
      </c>
      <c r="D6" s="2">
        <v>10670.9</v>
      </c>
      <c r="E6" s="2">
        <v>1345592</v>
      </c>
      <c r="F6" s="2">
        <v>1318.4939999999999</v>
      </c>
      <c r="G6" s="2">
        <v>1562.6193000000001</v>
      </c>
      <c r="H6" s="11">
        <f>F6/G6*100</f>
        <v>84.377173634038684</v>
      </c>
      <c r="I6" s="5">
        <v>6254.5</v>
      </c>
      <c r="J6" s="5">
        <v>691.82299999999998</v>
      </c>
      <c r="K6" s="5">
        <v>6946.3230000000003</v>
      </c>
      <c r="L6" s="5">
        <v>131.15179999999998</v>
      </c>
      <c r="M6" s="5">
        <v>7.5735000000000001</v>
      </c>
      <c r="N6" s="5">
        <v>0.68779999999999997</v>
      </c>
      <c r="O6" s="5">
        <v>139.41309999999999</v>
      </c>
      <c r="P6" s="5">
        <v>178.4067</v>
      </c>
      <c r="Q6" s="13">
        <f>O6/P6*100</f>
        <v>78.143421743690112</v>
      </c>
    </row>
    <row r="7" spans="1:17" x14ac:dyDescent="0.3">
      <c r="A7" s="9">
        <v>43221</v>
      </c>
      <c r="B7" s="3">
        <v>10291</v>
      </c>
      <c r="C7" s="3">
        <v>19998.2</v>
      </c>
      <c r="D7" s="3">
        <v>11072.5</v>
      </c>
      <c r="E7" s="3">
        <v>1333851</v>
      </c>
      <c r="F7" s="3">
        <v>1318.5028</v>
      </c>
      <c r="G7" s="3">
        <v>1613.8886</v>
      </c>
      <c r="H7" s="11">
        <f t="shared" ref="H7:H18" si="0">F7/G7*100</f>
        <v>81.697262128253456</v>
      </c>
      <c r="I7" s="6">
        <v>6179.9</v>
      </c>
      <c r="J7" s="6">
        <v>772</v>
      </c>
      <c r="K7" s="6">
        <v>6951.9</v>
      </c>
      <c r="L7" s="6">
        <v>134.25450000000001</v>
      </c>
      <c r="M7" s="6">
        <v>7.3301000000000007</v>
      </c>
      <c r="N7" s="6">
        <v>0.79289999999999994</v>
      </c>
      <c r="O7" s="6">
        <v>142.3775</v>
      </c>
      <c r="P7" s="6">
        <v>182.5308</v>
      </c>
      <c r="Q7" s="13">
        <f t="shared" ref="Q7:Q18" si="1">O7/P7*100</f>
        <v>78.001904336144918</v>
      </c>
    </row>
    <row r="8" spans="1:17" x14ac:dyDescent="0.3">
      <c r="A8" s="8">
        <v>43252</v>
      </c>
      <c r="B8" s="2">
        <v>9921</v>
      </c>
      <c r="C8" s="2">
        <v>19060</v>
      </c>
      <c r="D8" s="2">
        <v>10669.7</v>
      </c>
      <c r="E8" s="2">
        <v>1238131</v>
      </c>
      <c r="F8" s="2">
        <v>1228.3575000000001</v>
      </c>
      <c r="G8" s="2">
        <v>1509.3868</v>
      </c>
      <c r="H8" s="11">
        <f t="shared" si="0"/>
        <v>81.381227131441719</v>
      </c>
      <c r="I8" s="5">
        <v>6097.1</v>
      </c>
      <c r="J8" s="5">
        <v>690.4</v>
      </c>
      <c r="K8" s="5">
        <v>6787.5</v>
      </c>
      <c r="L8" s="5">
        <v>126.15989999999999</v>
      </c>
      <c r="M8" s="5">
        <v>7.1580000000000004</v>
      </c>
      <c r="N8" s="5">
        <v>0.69979999999999998</v>
      </c>
      <c r="O8" s="5">
        <v>134.01769999999999</v>
      </c>
      <c r="P8" s="5">
        <v>167.19499999999999</v>
      </c>
      <c r="Q8" s="13">
        <f t="shared" si="1"/>
        <v>80.156523819492207</v>
      </c>
    </row>
    <row r="9" spans="1:17" x14ac:dyDescent="0.3">
      <c r="A9" s="9">
        <v>43282</v>
      </c>
      <c r="B9" s="3">
        <v>9631</v>
      </c>
      <c r="C9" s="3">
        <v>18311.599999999999</v>
      </c>
      <c r="D9" s="3">
        <v>10386.200000000001</v>
      </c>
      <c r="E9" s="3">
        <v>1255241</v>
      </c>
      <c r="F9" s="3">
        <v>1222.8203000000001</v>
      </c>
      <c r="G9" s="3">
        <v>1475.5551</v>
      </c>
      <c r="H9" s="11">
        <f t="shared" si="0"/>
        <v>82.871883266168794</v>
      </c>
      <c r="I9" s="6">
        <v>6110.4</v>
      </c>
      <c r="J9" s="6">
        <v>714.7</v>
      </c>
      <c r="K9" s="6">
        <v>6825.0999999999995</v>
      </c>
      <c r="L9" s="6">
        <v>123.8188</v>
      </c>
      <c r="M9" s="6">
        <v>7.1304999999999996</v>
      </c>
      <c r="N9" s="6">
        <v>0.72960799999999992</v>
      </c>
      <c r="O9" s="6">
        <v>131.67890800000001</v>
      </c>
      <c r="P9" s="6">
        <v>163.75989999999999</v>
      </c>
      <c r="Q9" s="13">
        <f t="shared" si="1"/>
        <v>80.40973889212195</v>
      </c>
    </row>
    <row r="10" spans="1:17" x14ac:dyDescent="0.3">
      <c r="A10" s="8">
        <v>43313</v>
      </c>
      <c r="B10" s="2">
        <v>9639</v>
      </c>
      <c r="C10" s="2">
        <v>18228.93</v>
      </c>
      <c r="D10" s="2">
        <v>10385.99</v>
      </c>
      <c r="E10" s="2">
        <v>1265214</v>
      </c>
      <c r="F10" s="2">
        <v>1239.68966</v>
      </c>
      <c r="G10" s="2">
        <v>1491.6476599999999</v>
      </c>
      <c r="H10" s="11">
        <f t="shared" si="0"/>
        <v>83.108745667190604</v>
      </c>
      <c r="I10" s="5">
        <v>6345.4435999999996</v>
      </c>
      <c r="J10" s="5">
        <v>787.423</v>
      </c>
      <c r="K10" s="5">
        <v>7132.8665999999994</v>
      </c>
      <c r="L10" s="5">
        <v>124.91616</v>
      </c>
      <c r="M10" s="5">
        <v>7.2468900000000005</v>
      </c>
      <c r="N10" s="5">
        <v>0.81455</v>
      </c>
      <c r="O10" s="5">
        <v>132.9776</v>
      </c>
      <c r="P10" s="5">
        <v>164.5376</v>
      </c>
      <c r="Q10" s="13">
        <f t="shared" si="1"/>
        <v>80.818973900190599</v>
      </c>
    </row>
    <row r="11" spans="1:17" x14ac:dyDescent="0.3">
      <c r="A11" s="9">
        <v>43344</v>
      </c>
      <c r="B11" s="3">
        <v>9180</v>
      </c>
      <c r="C11" s="3">
        <v>17076.916700000002</v>
      </c>
      <c r="D11" s="3">
        <v>9917.1329999999998</v>
      </c>
      <c r="E11" s="3">
        <v>1173238</v>
      </c>
      <c r="F11" s="3">
        <v>1150.2854029999999</v>
      </c>
      <c r="G11" s="3">
        <v>1400.9003989999999</v>
      </c>
      <c r="H11" s="11">
        <f t="shared" si="0"/>
        <v>82.110434390703603</v>
      </c>
      <c r="I11" s="6">
        <v>6532.2357000000002</v>
      </c>
      <c r="J11" s="6">
        <v>707.67600000000004</v>
      </c>
      <c r="K11" s="6">
        <v>7239.9117000000006</v>
      </c>
      <c r="L11" s="6">
        <v>114.51593</v>
      </c>
      <c r="M11" s="6">
        <v>7.493843375</v>
      </c>
      <c r="N11" s="6">
        <v>0.71690999999999994</v>
      </c>
      <c r="O11" s="6">
        <v>122.72668337499999</v>
      </c>
      <c r="P11" s="6">
        <v>154.29588522</v>
      </c>
      <c r="Q11" s="13">
        <f t="shared" si="1"/>
        <v>79.539829075812591</v>
      </c>
    </row>
    <row r="12" spans="1:17" x14ac:dyDescent="0.3">
      <c r="A12" s="8">
        <v>43374</v>
      </c>
      <c r="B12" s="2">
        <v>10234</v>
      </c>
      <c r="C12" s="2">
        <v>19104.349999999999</v>
      </c>
      <c r="D12" s="2">
        <v>11030.128000000001</v>
      </c>
      <c r="E12" s="2">
        <v>1276807</v>
      </c>
      <c r="F12" s="2">
        <v>1254.204383</v>
      </c>
      <c r="G12" s="2">
        <v>1579.133941</v>
      </c>
      <c r="H12" s="11">
        <f t="shared" si="0"/>
        <v>79.423559359744019</v>
      </c>
      <c r="I12" s="5">
        <v>6676.3851999999997</v>
      </c>
      <c r="J12" s="5">
        <v>729.44799999999998</v>
      </c>
      <c r="K12" s="5">
        <v>7405.8332</v>
      </c>
      <c r="L12" s="5">
        <v>125.97091999999999</v>
      </c>
      <c r="M12" s="5">
        <v>7.714099</v>
      </c>
      <c r="N12" s="5">
        <v>0.73006500000000007</v>
      </c>
      <c r="O12" s="5">
        <v>134.41508400000001</v>
      </c>
      <c r="P12" s="5">
        <v>173.348297</v>
      </c>
      <c r="Q12" s="13">
        <f t="shared" si="1"/>
        <v>77.540469866860022</v>
      </c>
    </row>
    <row r="13" spans="1:17" x14ac:dyDescent="0.3">
      <c r="A13" s="9">
        <v>43405</v>
      </c>
      <c r="B13" s="3">
        <v>9822</v>
      </c>
      <c r="C13" s="3">
        <v>14215</v>
      </c>
      <c r="D13" s="3">
        <v>10664.017</v>
      </c>
      <c r="E13" s="3">
        <v>1242223</v>
      </c>
      <c r="F13" s="3">
        <v>1177.788474</v>
      </c>
      <c r="G13" s="3">
        <v>1532.21967</v>
      </c>
      <c r="H13" s="11">
        <f t="shared" si="0"/>
        <v>76.868121266188936</v>
      </c>
      <c r="I13" s="6">
        <v>5760.7057999999997</v>
      </c>
      <c r="J13" s="6">
        <v>694.26800000000003</v>
      </c>
      <c r="K13" s="6">
        <v>6454.9737999999998</v>
      </c>
      <c r="L13" s="6">
        <v>123.69811</v>
      </c>
      <c r="M13" s="6">
        <v>6.5647979999999997</v>
      </c>
      <c r="N13" s="6">
        <v>0.68594000000000011</v>
      </c>
      <c r="O13" s="6">
        <v>130.948848</v>
      </c>
      <c r="P13" s="6">
        <v>169.18337500000001</v>
      </c>
      <c r="Q13" s="13">
        <f t="shared" si="1"/>
        <v>77.4005412765882</v>
      </c>
    </row>
    <row r="14" spans="1:17" x14ac:dyDescent="0.3">
      <c r="A14" s="8">
        <v>43435</v>
      </c>
      <c r="B14" s="2">
        <v>10515</v>
      </c>
      <c r="C14" s="2">
        <v>19972</v>
      </c>
      <c r="D14" s="2">
        <v>11449</v>
      </c>
      <c r="E14" s="2">
        <v>1372904</v>
      </c>
      <c r="F14" s="2">
        <v>1313.6</v>
      </c>
      <c r="G14" s="2">
        <v>1649.442</v>
      </c>
      <c r="H14" s="11">
        <f t="shared" si="0"/>
        <v>79.639053692097079</v>
      </c>
      <c r="I14" s="5">
        <v>5705.2852000000003</v>
      </c>
      <c r="J14" s="5">
        <v>742.35699999999997</v>
      </c>
      <c r="K14" s="5">
        <v>6447.6422000000002</v>
      </c>
      <c r="L14" s="5">
        <v>121.065</v>
      </c>
      <c r="M14" s="5">
        <v>6.5910000000000002</v>
      </c>
      <c r="N14" s="5">
        <v>0.72699999999999998</v>
      </c>
      <c r="O14" s="5">
        <v>128.38300000000001</v>
      </c>
      <c r="P14" s="5">
        <v>180.995</v>
      </c>
      <c r="Q14" s="13">
        <f t="shared" si="1"/>
        <v>70.931793695958461</v>
      </c>
    </row>
    <row r="15" spans="1:17" x14ac:dyDescent="0.3">
      <c r="A15" s="9">
        <v>43466</v>
      </c>
      <c r="B15" s="3">
        <v>10378</v>
      </c>
      <c r="C15" s="3">
        <v>19895.483</v>
      </c>
      <c r="D15" s="3">
        <v>11299.762000000001</v>
      </c>
      <c r="E15" s="3">
        <v>1343960</v>
      </c>
      <c r="F15" s="3">
        <v>1278.6777050000001</v>
      </c>
      <c r="G15" s="3">
        <v>1629.8939499999999</v>
      </c>
      <c r="H15" s="11">
        <f t="shared" si="0"/>
        <v>78.451589135599903</v>
      </c>
      <c r="I15" s="6">
        <v>5673.3379999999997</v>
      </c>
      <c r="J15" s="6">
        <v>750.61</v>
      </c>
      <c r="K15" s="6">
        <v>6423.9479999999994</v>
      </c>
      <c r="L15" s="6">
        <v>117.812696</v>
      </c>
      <c r="M15" s="6">
        <v>6.7768480000000002</v>
      </c>
      <c r="N15" s="6">
        <v>0.79983500000000007</v>
      </c>
      <c r="O15" s="6">
        <v>125.38937900000001</v>
      </c>
      <c r="P15" s="6">
        <v>178.33244500000001</v>
      </c>
      <c r="Q15" s="13">
        <f t="shared" si="1"/>
        <v>70.312151554923162</v>
      </c>
    </row>
    <row r="16" spans="1:17" x14ac:dyDescent="0.3">
      <c r="A16" s="8">
        <v>43497</v>
      </c>
      <c r="B16" s="2">
        <v>9320</v>
      </c>
      <c r="C16" s="2">
        <v>17775</v>
      </c>
      <c r="D16" s="2">
        <v>10168</v>
      </c>
      <c r="E16" s="2">
        <v>1286834</v>
      </c>
      <c r="F16" s="2">
        <v>1235.346</v>
      </c>
      <c r="G16" s="2">
        <v>1470.423</v>
      </c>
      <c r="H16" s="11">
        <f t="shared" si="0"/>
        <v>84.012967697050442</v>
      </c>
      <c r="I16" s="5">
        <v>5283.3352000000004</v>
      </c>
      <c r="J16" s="5">
        <v>750.44299999999998</v>
      </c>
      <c r="K16" s="5">
        <v>6033.7782000000007</v>
      </c>
      <c r="L16" s="5">
        <v>114.024</v>
      </c>
      <c r="M16" s="5">
        <v>6.1150000000000002</v>
      </c>
      <c r="N16" s="5">
        <v>0.7598339999999999</v>
      </c>
      <c r="O16" s="5">
        <v>120.89883400000001</v>
      </c>
      <c r="P16" s="5">
        <v>160.899</v>
      </c>
      <c r="Q16" s="13">
        <f t="shared" si="1"/>
        <v>75.139580730768998</v>
      </c>
    </row>
    <row r="17" spans="1:17" x14ac:dyDescent="0.3">
      <c r="A17" s="9">
        <v>43525</v>
      </c>
      <c r="B17" s="3">
        <v>10247</v>
      </c>
      <c r="C17" s="3">
        <v>18983</v>
      </c>
      <c r="D17" s="3">
        <v>11230.325000000001</v>
      </c>
      <c r="E17" s="3">
        <v>1345336</v>
      </c>
      <c r="F17" s="3">
        <v>1275.95651</v>
      </c>
      <c r="G17" s="3">
        <v>1602.8032470000001</v>
      </c>
      <c r="H17" s="11">
        <f t="shared" si="0"/>
        <v>79.607806659253669</v>
      </c>
      <c r="I17" s="6">
        <v>6417.616</v>
      </c>
      <c r="J17" s="6">
        <v>730.98</v>
      </c>
      <c r="K17" s="6">
        <v>7148.5959999999995</v>
      </c>
      <c r="L17" s="6">
        <v>117.614801</v>
      </c>
      <c r="M17" s="6">
        <v>7.3543630000000002</v>
      </c>
      <c r="N17" s="6">
        <v>0.69898000000000005</v>
      </c>
      <c r="O17" s="6">
        <v>125.668144</v>
      </c>
      <c r="P17" s="6">
        <v>173.696369</v>
      </c>
      <c r="Q17" s="13">
        <f t="shared" si="1"/>
        <v>72.349321245742331</v>
      </c>
    </row>
    <row r="18" spans="1:17" ht="26.25" customHeight="1" x14ac:dyDescent="0.3">
      <c r="A18" s="1" t="s">
        <v>19</v>
      </c>
      <c r="B18" s="4">
        <f>SUM(B6:B17)</f>
        <v>119091</v>
      </c>
      <c r="C18" s="4">
        <f t="shared" ref="C18:G18" si="2">SUM(C6:C17)</f>
        <v>221689.27970000001</v>
      </c>
      <c r="D18" s="4">
        <f t="shared" si="2"/>
        <v>128943.655</v>
      </c>
      <c r="E18" s="4">
        <f t="shared" si="2"/>
        <v>15479331</v>
      </c>
      <c r="F18" s="4">
        <f t="shared" si="2"/>
        <v>15013.722735000001</v>
      </c>
      <c r="G18" s="4">
        <f t="shared" si="2"/>
        <v>18517.913667000001</v>
      </c>
      <c r="H18" s="12">
        <f t="shared" si="0"/>
        <v>81.0767508963784</v>
      </c>
      <c r="I18" s="7">
        <f t="shared" ref="I18:P18" si="3">SUM(I6:I17)</f>
        <v>73036.244699999996</v>
      </c>
      <c r="J18" s="7">
        <f t="shared" si="3"/>
        <v>8762.1280000000006</v>
      </c>
      <c r="K18" s="7">
        <f t="shared" si="3"/>
        <v>81798.372700000007</v>
      </c>
      <c r="L18" s="7">
        <f t="shared" si="3"/>
        <v>1475.0026169999999</v>
      </c>
      <c r="M18" s="7">
        <f t="shared" si="3"/>
        <v>85.048941374999998</v>
      </c>
      <c r="N18" s="7">
        <f t="shared" si="3"/>
        <v>8.8432220000000008</v>
      </c>
      <c r="O18" s="7">
        <f t="shared" si="3"/>
        <v>1568.894780375</v>
      </c>
      <c r="P18" s="7">
        <f t="shared" si="3"/>
        <v>2047.1803712200001</v>
      </c>
      <c r="Q18" s="14">
        <f t="shared" si="1"/>
        <v>76.636861237587496</v>
      </c>
    </row>
    <row r="19" spans="1:17" x14ac:dyDescent="0.3">
      <c r="A19" s="17" t="s">
        <v>23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2020-06-09T07:48:29Z</cp:lastPrinted>
  <dcterms:created xsi:type="dcterms:W3CDTF">2018-10-29T04:00:07Z</dcterms:created>
  <dcterms:modified xsi:type="dcterms:W3CDTF">2020-06-09T07:50:23Z</dcterms:modified>
</cp:coreProperties>
</file>