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KASA AIR\"/>
    </mc:Choice>
  </mc:AlternateContent>
  <bookViews>
    <workbookView xWindow="0" yWindow="0" windowWidth="24000" windowHeight="11025"/>
  </bookViews>
  <sheets>
    <sheet name="AKASA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Q17" i="1"/>
  <c r="Q16" i="1"/>
  <c r="Q15" i="1"/>
  <c r="Q14" i="1"/>
  <c r="Q13" i="1"/>
  <c r="Q12" i="1"/>
  <c r="Q11" i="1"/>
  <c r="Q10" i="1"/>
  <c r="Q9" i="1"/>
  <c r="Q8" i="1"/>
  <c r="Q7" i="1"/>
  <c r="Q6" i="1"/>
  <c r="H18" i="1"/>
  <c r="H16" i="1"/>
  <c r="H15" i="1"/>
  <c r="H14" i="1"/>
  <c r="H13" i="1"/>
  <c r="H12" i="1"/>
  <c r="H11" i="1"/>
  <c r="H10" i="1"/>
  <c r="H9" i="1"/>
  <c r="H8" i="1"/>
  <c r="H7" i="1"/>
  <c r="H6" i="1"/>
  <c r="H17" i="1" l="1"/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<sst xmlns="http://schemas.openxmlformats.org/spreadsheetml/2006/main" count="26" uniqueCount="24">
  <si>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</si>
  <si>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</si>
  <si>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</si>
  <si>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</si>
  <si>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</si>
  <si>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</si>
  <si>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</si>
  <si>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</si>
  <si>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</si>
  <si>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</si>
  <si>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</si>
  <si>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</si>
  <si>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</si>
  <si>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</si>
  <si>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</si>
  <si>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</si>
  <si>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</si>
  <si>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</si>
  <si>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</si>
  <si>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AKASA AIR</t>
  </si>
  <si>
    <t>Table 1.02 (AKASA AIR)</t>
  </si>
  <si>
    <t xml:space="preserve">तालिका - 1.02 (अकासा एयर) </t>
  </si>
  <si>
    <t>MONTHLY TRAFFIC AND OPERATING STATISTICS OF AKASA AIR ON SCHEDULED INTERNATIONAL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</si>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</sst>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3" borderId="1" xfId="3" applyNumberFormat="1" applyBorder="1" applyAlignment="1" applyProtection="1">
      <alignment horizontal="center" vertical="center" wrapText="1"/>
    </xf>
    <xf numFmtId="166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7" zoomScale="130" zoomScaleNormal="100" zoomScaleSheetLayoutView="130" workbookViewId="0">
      <selection activeCell="O18" sqref="O18"/>
    </sheetView>
  </sheetViews>
  <sheetFormatPr defaultRowHeight="15" x14ac:dyDescent="0.25"/>
  <cols>
    <col min="1" max="1" width="13.85546875" customWidth="1"/>
    <col min="2" max="2" width="9" customWidth="1"/>
    <col min="3" max="3" width="9.28515625" customWidth="1"/>
    <col min="4" max="4" width="8.42578125" customWidth="1"/>
    <col min="5" max="5" width="11.42578125" customWidth="1"/>
    <col min="6" max="6" width="8.5703125" customWidth="1"/>
    <col min="7" max="7" width="8.7109375" customWidth="1"/>
    <col min="8" max="8" width="7.42578125" customWidth="1"/>
    <col min="9" max="9" width="8.28515625" customWidth="1"/>
    <col min="10" max="10" width="7.42578125" customWidth="1"/>
    <col min="11" max="11" width="9" customWidth="1"/>
    <col min="12" max="17" width="7.42578125" customWidth="1"/>
  </cols>
  <sheetData>
    <row r="1" spans="1:17" ht="19.149999999999999" customHeight="1" x14ac:dyDescent="0.25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8.450000000000003" customHeight="1" x14ac:dyDescent="0.25">
      <c r="A4" s="14" t="s">
        <v>0</v>
      </c>
      <c r="B4" s="14" t="s">
        <v>1</v>
      </c>
      <c r="C4" s="14"/>
      <c r="D4" s="14"/>
      <c r="E4" s="14" t="s">
        <v>2</v>
      </c>
      <c r="F4" s="15"/>
      <c r="G4" s="8" t="s">
        <v>3</v>
      </c>
      <c r="H4" s="8" t="s">
        <v>4</v>
      </c>
      <c r="I4" s="14" t="s">
        <v>5</v>
      </c>
      <c r="J4" s="14"/>
      <c r="K4" s="14"/>
      <c r="L4" s="14" t="s">
        <v>6</v>
      </c>
      <c r="M4" s="14"/>
      <c r="N4" s="14"/>
      <c r="O4" s="14"/>
      <c r="P4" s="8" t="s">
        <v>7</v>
      </c>
      <c r="Q4" s="8" t="s">
        <v>8</v>
      </c>
    </row>
    <row r="5" spans="1:17" ht="98.45" customHeight="1" x14ac:dyDescent="0.25">
      <c r="A5" s="14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9"/>
      <c r="H5" s="9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9"/>
      <c r="Q5" s="9"/>
    </row>
    <row r="6" spans="1:17" ht="19.149999999999999" customHeight="1" x14ac:dyDescent="0.25">
      <c r="A6" s="6">
        <v>45383</v>
      </c>
      <c r="B6" s="1">
        <v>32</v>
      </c>
      <c r="C6" s="1">
        <v>114.18333</v>
      </c>
      <c r="D6" s="1">
        <v>73.44</v>
      </c>
      <c r="E6" s="1">
        <v>3688</v>
      </c>
      <c r="F6" s="1">
        <v>8.4639599999999984</v>
      </c>
      <c r="G6" s="1">
        <v>13.88016</v>
      </c>
      <c r="H6" s="1">
        <f t="shared" ref="H6:H18" si="0">F6/G6*100</f>
        <v>60.978835978835967</v>
      </c>
      <c r="I6" s="1">
        <v>0</v>
      </c>
      <c r="J6" s="1">
        <v>0</v>
      </c>
      <c r="K6" s="1">
        <v>0</v>
      </c>
      <c r="L6" s="1">
        <v>0.77344024999999994</v>
      </c>
      <c r="M6" s="1">
        <v>0</v>
      </c>
      <c r="N6" s="1">
        <v>0</v>
      </c>
      <c r="O6" s="1">
        <v>0.77344024999999994</v>
      </c>
      <c r="P6" s="1">
        <v>1.5059606400000001</v>
      </c>
      <c r="Q6" s="1">
        <f t="shared" ref="Q6:Q18" si="1">O6/P6*100</f>
        <v>51.358596596521934</v>
      </c>
    </row>
    <row r="7" spans="1:17" ht="19.149999999999999" customHeight="1" x14ac:dyDescent="0.25">
      <c r="A7" s="7">
        <v>45413</v>
      </c>
      <c r="B7" s="2">
        <v>36</v>
      </c>
      <c r="C7" s="2">
        <v>128.4</v>
      </c>
      <c r="D7" s="2">
        <v>82.62</v>
      </c>
      <c r="E7" s="2">
        <v>5093</v>
      </c>
      <c r="F7" s="2">
        <v>11.688435</v>
      </c>
      <c r="G7" s="2">
        <v>15.615180000000001</v>
      </c>
      <c r="H7" s="2">
        <f t="shared" si="0"/>
        <v>74.8530276308054</v>
      </c>
      <c r="I7" s="2">
        <v>17.989999999999998</v>
      </c>
      <c r="J7" s="2">
        <v>0</v>
      </c>
      <c r="K7" s="2">
        <v>17.989999999999998</v>
      </c>
      <c r="L7" s="2">
        <v>1.0824252799999998</v>
      </c>
      <c r="M7" s="2">
        <v>4.1287049999999999E-2</v>
      </c>
      <c r="N7" s="2">
        <v>0</v>
      </c>
      <c r="O7" s="2">
        <v>1.1237123299999998</v>
      </c>
      <c r="P7" s="2">
        <v>1.69420572</v>
      </c>
      <c r="Q7" s="2">
        <f t="shared" si="1"/>
        <v>66.326793537209866</v>
      </c>
    </row>
    <row r="8" spans="1:17" ht="19.149999999999999" customHeight="1" x14ac:dyDescent="0.25">
      <c r="A8" s="6">
        <v>45444</v>
      </c>
      <c r="B8" s="1">
        <v>72</v>
      </c>
      <c r="C8" s="1">
        <v>288.95</v>
      </c>
      <c r="D8" s="1">
        <v>186.864</v>
      </c>
      <c r="E8" s="1">
        <v>10284</v>
      </c>
      <c r="F8" s="1">
        <v>27.056383999999998</v>
      </c>
      <c r="G8" s="1">
        <v>35.317295999999999</v>
      </c>
      <c r="H8" s="1">
        <f t="shared" si="0"/>
        <v>76.609443712791602</v>
      </c>
      <c r="I8" s="1">
        <v>42.502000000000002</v>
      </c>
      <c r="J8" s="1"/>
      <c r="K8" s="1">
        <v>42.502000000000002</v>
      </c>
      <c r="L8" s="1">
        <v>2.6082208099999997</v>
      </c>
      <c r="M8" s="1">
        <v>9.8186120000000002E-2</v>
      </c>
      <c r="N8" s="1">
        <v>0</v>
      </c>
      <c r="O8" s="1">
        <v>2.7064069299999995</v>
      </c>
      <c r="P8" s="1">
        <v>3.8318331800000003</v>
      </c>
      <c r="Q8" s="1">
        <f t="shared" si="1"/>
        <v>70.629560392292419</v>
      </c>
    </row>
    <row r="9" spans="1:17" ht="19.149999999999999" customHeight="1" x14ac:dyDescent="0.25">
      <c r="A9" s="7">
        <v>45474</v>
      </c>
      <c r="B9" s="2">
        <v>196</v>
      </c>
      <c r="C9" s="2">
        <v>845.05</v>
      </c>
      <c r="D9" s="2">
        <v>536.02599999999995</v>
      </c>
      <c r="E9" s="2">
        <v>26249</v>
      </c>
      <c r="F9" s="2">
        <v>72.299138999999997</v>
      </c>
      <c r="G9" s="2">
        <v>101.00723699999999</v>
      </c>
      <c r="H9" s="2">
        <f t="shared" si="0"/>
        <v>71.578177116160504</v>
      </c>
      <c r="I9" s="2">
        <v>50.07</v>
      </c>
      <c r="J9" s="2">
        <v>0</v>
      </c>
      <c r="K9" s="2">
        <v>50.07</v>
      </c>
      <c r="L9" s="2">
        <v>6.6527901199999997</v>
      </c>
      <c r="M9" s="2">
        <v>0.11913896</v>
      </c>
      <c r="N9" s="2">
        <v>0</v>
      </c>
      <c r="O9" s="2">
        <v>6.7719290799999996</v>
      </c>
      <c r="P9" s="2">
        <v>10.991749159999999</v>
      </c>
      <c r="Q9" s="2">
        <f t="shared" si="1"/>
        <v>61.609203243499053</v>
      </c>
    </row>
    <row r="10" spans="1:17" ht="19.149999999999999" customHeight="1" x14ac:dyDescent="0.25">
      <c r="A10" s="6">
        <v>45505</v>
      </c>
      <c r="B10" s="1">
        <v>302</v>
      </c>
      <c r="C10" s="1">
        <v>1331.33</v>
      </c>
      <c r="D10" s="1">
        <v>861.10400000000004</v>
      </c>
      <c r="E10" s="1">
        <v>40906</v>
      </c>
      <c r="F10" s="1">
        <v>121.19668399999999</v>
      </c>
      <c r="G10" s="1">
        <v>161.59813500000001</v>
      </c>
      <c r="H10" s="1">
        <f t="shared" si="0"/>
        <v>74.998813569228375</v>
      </c>
      <c r="I10" s="1">
        <v>60.258000000000003</v>
      </c>
      <c r="J10" s="1">
        <v>0</v>
      </c>
      <c r="K10" s="1">
        <v>60.258000000000003</v>
      </c>
      <c r="L10" s="1">
        <v>11.35360232</v>
      </c>
      <c r="M10" s="1">
        <v>0.14743594999999998</v>
      </c>
      <c r="N10" s="1">
        <v>0</v>
      </c>
      <c r="O10" s="1">
        <v>11.501038269999999</v>
      </c>
      <c r="P10" s="1">
        <v>17.657798620000001</v>
      </c>
      <c r="Q10" s="1">
        <f t="shared" si="1"/>
        <v>65.132911058196214</v>
      </c>
    </row>
    <row r="11" spans="1:17" ht="19.149999999999999" customHeight="1" x14ac:dyDescent="0.25">
      <c r="A11" s="7">
        <v>45536</v>
      </c>
      <c r="B11" s="2">
        <v>322</v>
      </c>
      <c r="C11" s="2">
        <v>1395.75</v>
      </c>
      <c r="D11" s="2">
        <v>906.726</v>
      </c>
      <c r="E11" s="2">
        <v>40124</v>
      </c>
      <c r="F11" s="2">
        <v>114.74698699999999</v>
      </c>
      <c r="G11" s="2">
        <v>170.03103300000001</v>
      </c>
      <c r="H11" s="2">
        <f t="shared" si="0"/>
        <v>67.485908292987901</v>
      </c>
      <c r="I11" s="2">
        <v>99.957999999999998</v>
      </c>
      <c r="J11" s="2">
        <v>0</v>
      </c>
      <c r="K11" s="2">
        <v>99.957999999999998</v>
      </c>
      <c r="L11" s="2">
        <v>10.69327376</v>
      </c>
      <c r="M11" s="2">
        <v>0.25542285000000003</v>
      </c>
      <c r="N11" s="2">
        <v>0</v>
      </c>
      <c r="O11" s="2">
        <v>10.948696610000001</v>
      </c>
      <c r="P11" s="2">
        <v>18.593323339999998</v>
      </c>
      <c r="Q11" s="2">
        <f t="shared" si="1"/>
        <v>58.885097676142507</v>
      </c>
    </row>
    <row r="12" spans="1:17" ht="19.149999999999999" customHeight="1" x14ac:dyDescent="0.25">
      <c r="A12" s="6">
        <v>45566</v>
      </c>
      <c r="B12" s="1">
        <v>295</v>
      </c>
      <c r="C12" s="1">
        <v>1269.05</v>
      </c>
      <c r="D12" s="1">
        <v>808.72199999999998</v>
      </c>
      <c r="E12" s="1">
        <v>39515</v>
      </c>
      <c r="F12" s="1">
        <v>109.301666</v>
      </c>
      <c r="G12" s="1">
        <v>151.33136999999999</v>
      </c>
      <c r="H12" s="1">
        <f t="shared" si="0"/>
        <v>72.226707522703322</v>
      </c>
      <c r="I12" s="1">
        <v>122.509</v>
      </c>
      <c r="J12" s="1">
        <v>0</v>
      </c>
      <c r="K12" s="1">
        <v>122.509</v>
      </c>
      <c r="L12" s="1">
        <v>10.160893400000001</v>
      </c>
      <c r="M12" s="1">
        <v>0.31330702999999999</v>
      </c>
      <c r="N12" s="1">
        <v>0</v>
      </c>
      <c r="O12" s="1">
        <v>10.474200430000002</v>
      </c>
      <c r="P12" s="1">
        <v>16.583653349999999</v>
      </c>
      <c r="Q12" s="1">
        <f t="shared" si="1"/>
        <v>63.159788792859707</v>
      </c>
    </row>
    <row r="13" spans="1:17" ht="19.149999999999999" customHeight="1" x14ac:dyDescent="0.25">
      <c r="A13" s="7">
        <v>45597</v>
      </c>
      <c r="B13" s="2">
        <v>296</v>
      </c>
      <c r="C13" s="2">
        <v>1331.85</v>
      </c>
      <c r="D13" s="2">
        <v>843.54600000000005</v>
      </c>
      <c r="E13" s="2">
        <v>41311</v>
      </c>
      <c r="F13" s="2">
        <v>117.342992</v>
      </c>
      <c r="G13" s="2">
        <v>157.83207300000001</v>
      </c>
      <c r="H13" s="2">
        <f t="shared" si="0"/>
        <v>74.346734329466742</v>
      </c>
      <c r="I13" s="2">
        <v>99.203999999999994</v>
      </c>
      <c r="J13" s="2">
        <v>0</v>
      </c>
      <c r="K13" s="2">
        <v>99.203999999999994</v>
      </c>
      <c r="L13" s="2">
        <v>11.02039343</v>
      </c>
      <c r="M13" s="2">
        <v>0.25297791000000003</v>
      </c>
      <c r="N13" s="2">
        <v>0</v>
      </c>
      <c r="O13" s="2">
        <v>11.273371339999999</v>
      </c>
      <c r="P13" s="2">
        <v>17.297754260000001</v>
      </c>
      <c r="Q13" s="2">
        <f t="shared" si="1"/>
        <v>65.172456323240652</v>
      </c>
    </row>
    <row r="14" spans="1:17" ht="19.149999999999999" customHeight="1" x14ac:dyDescent="0.25">
      <c r="A14" s="6">
        <v>45627</v>
      </c>
      <c r="B14" s="1">
        <v>299</v>
      </c>
      <c r="C14" s="1">
        <v>1350.22</v>
      </c>
      <c r="D14" s="1">
        <v>848.89700000000005</v>
      </c>
      <c r="E14" s="1">
        <v>47963</v>
      </c>
      <c r="F14" s="1">
        <v>136.259118</v>
      </c>
      <c r="G14" s="1">
        <v>158.84814</v>
      </c>
      <c r="H14" s="1">
        <f t="shared" si="0"/>
        <v>85.77948599209283</v>
      </c>
      <c r="I14" s="1">
        <v>107.289</v>
      </c>
      <c r="J14" s="1">
        <v>0</v>
      </c>
      <c r="K14" s="1">
        <v>107.289</v>
      </c>
      <c r="L14" s="1">
        <v>12.810338309999999</v>
      </c>
      <c r="M14" s="1">
        <v>0.28887786999999998</v>
      </c>
      <c r="N14" s="1">
        <v>0</v>
      </c>
      <c r="O14" s="1">
        <v>13.099216179999999</v>
      </c>
      <c r="P14" s="1">
        <v>17.407481860000001</v>
      </c>
      <c r="Q14" s="1">
        <f t="shared" si="1"/>
        <v>75.250494502023273</v>
      </c>
    </row>
    <row r="15" spans="1:17" ht="19.149999999999999" customHeight="1" x14ac:dyDescent="0.25">
      <c r="A15" s="7">
        <v>45658</v>
      </c>
      <c r="B15" s="2">
        <v>310</v>
      </c>
      <c r="C15" s="2">
        <v>1406</v>
      </c>
      <c r="D15" s="2">
        <v>882.7</v>
      </c>
      <c r="E15" s="2">
        <v>47598</v>
      </c>
      <c r="F15" s="2">
        <v>136.78029999999998</v>
      </c>
      <c r="G15" s="2">
        <v>165.25324499999999</v>
      </c>
      <c r="H15" s="2">
        <f t="shared" si="0"/>
        <v>82.770114438599975</v>
      </c>
      <c r="I15" s="2">
        <v>131.06233</v>
      </c>
      <c r="J15" s="2">
        <v>0</v>
      </c>
      <c r="K15" s="2">
        <v>131.06233</v>
      </c>
      <c r="L15" s="2">
        <v>12.79168136</v>
      </c>
      <c r="M15" s="2">
        <v>0.34912131000000002</v>
      </c>
      <c r="N15" s="2">
        <v>0</v>
      </c>
      <c r="O15" s="2">
        <v>13.140802670000001</v>
      </c>
      <c r="P15" s="2">
        <v>18.1006462</v>
      </c>
      <c r="Q15" s="2">
        <f t="shared" si="1"/>
        <v>72.598527835984115</v>
      </c>
    </row>
    <row r="16" spans="1:17" ht="19.149999999999999" customHeight="1" x14ac:dyDescent="0.25">
      <c r="A16" s="6">
        <v>45689</v>
      </c>
      <c r="B16" s="1">
        <v>270</v>
      </c>
      <c r="C16" s="1">
        <v>1235.3666666666666</v>
      </c>
      <c r="D16" s="1">
        <v>771.48599999999999</v>
      </c>
      <c r="E16" s="1">
        <v>41175</v>
      </c>
      <c r="F16" s="1">
        <v>119.527553</v>
      </c>
      <c r="G16" s="1">
        <v>144.24482399999999</v>
      </c>
      <c r="H16" s="1">
        <f t="shared" si="0"/>
        <v>82.864361912909956</v>
      </c>
      <c r="I16" s="1">
        <v>132.85900000000001</v>
      </c>
      <c r="J16" s="1"/>
      <c r="K16" s="1">
        <v>132.85900000000001</v>
      </c>
      <c r="L16" s="1">
        <v>11.252685530000001</v>
      </c>
      <c r="M16" s="1">
        <v>0.35491394999999998</v>
      </c>
      <c r="N16" s="1">
        <v>0</v>
      </c>
      <c r="O16" s="1">
        <v>11.607599480000001</v>
      </c>
      <c r="P16" s="1">
        <v>15.820091920000001</v>
      </c>
      <c r="Q16" s="1">
        <f t="shared" si="1"/>
        <v>73.372516030235559</v>
      </c>
    </row>
    <row r="17" spans="1:17" ht="19.149999999999999" customHeight="1" x14ac:dyDescent="0.25">
      <c r="A17" s="7">
        <v>45717</v>
      </c>
      <c r="B17" s="2">
        <v>363</v>
      </c>
      <c r="C17" s="2">
        <v>1484.2</v>
      </c>
      <c r="D17" s="2">
        <v>931.18899999999996</v>
      </c>
      <c r="E17" s="2">
        <v>47170</v>
      </c>
      <c r="F17" s="2">
        <v>120.928217</v>
      </c>
      <c r="G17" s="2">
        <v>173.934708</v>
      </c>
      <c r="H17" s="2">
        <f t="shared" ref="H17" si="2">F17/G17*100</f>
        <v>69.525063968256418</v>
      </c>
      <c r="I17" s="2">
        <v>140.88999000000001</v>
      </c>
      <c r="J17" s="2">
        <v>0</v>
      </c>
      <c r="K17" s="2">
        <v>140.88999000000001</v>
      </c>
      <c r="L17" s="2">
        <v>11.441110399999999</v>
      </c>
      <c r="M17" s="2">
        <v>0.36246031000000001</v>
      </c>
      <c r="N17" s="2">
        <v>0</v>
      </c>
      <c r="O17" s="2">
        <v>11.803570710000001</v>
      </c>
      <c r="P17" s="2">
        <v>19.094961640000001</v>
      </c>
      <c r="Q17" s="2">
        <f t="shared" si="1"/>
        <v>61.815105641657631</v>
      </c>
    </row>
    <row r="18" spans="1:17" ht="19.149999999999999" customHeight="1" x14ac:dyDescent="0.25">
      <c r="A18" s="3" t="s">
        <v>23</v>
      </c>
      <c r="B18" s="4">
        <f t="shared" ref="B18:I18" si="3">SUM(B6:B17)</f>
        <v>2793</v>
      </c>
      <c r="C18" s="4">
        <f t="shared" si="3"/>
        <v>12180.349996666666</v>
      </c>
      <c r="D18" s="4">
        <f t="shared" si="3"/>
        <v>7733.3200000000006</v>
      </c>
      <c r="E18" s="4">
        <f t="shared" si="3"/>
        <v>391076</v>
      </c>
      <c r="F18" s="4">
        <f t="shared" si="3"/>
        <v>1095.5914349999998</v>
      </c>
      <c r="G18" s="4">
        <f t="shared" si="3"/>
        <v>1448.893401</v>
      </c>
      <c r="H18" s="4">
        <f t="shared" si="0"/>
        <v>75.615737792983424</v>
      </c>
      <c r="I18" s="4">
        <f t="shared" si="3"/>
        <v>1004.5913200000001</v>
      </c>
      <c r="J18" s="4">
        <f>SUM(J6:J17)</f>
        <v>0</v>
      </c>
      <c r="K18" s="4">
        <f t="shared" ref="K18:Q18" si="4">SUM(K6:K17)</f>
        <v>1004.5913200000001</v>
      </c>
      <c r="L18" s="4">
        <f t="shared" si="4"/>
        <v>102.64085497000001</v>
      </c>
      <c r="M18" s="4">
        <f t="shared" si="4"/>
        <v>2.5831293099999999</v>
      </c>
      <c r="N18" s="4">
        <f t="shared" si="4"/>
        <v>0</v>
      </c>
      <c r="O18" s="4">
        <f t="shared" si="4"/>
        <v>105.22398428</v>
      </c>
      <c r="P18" s="4">
        <f t="shared" si="4"/>
        <v>158.57945989000001</v>
      </c>
      <c r="Q18" s="4">
        <f t="shared" si="1"/>
        <v>66.35410686414842</v>
      </c>
    </row>
    <row r="19" spans="1:17" ht="19.149999999999999" customHeight="1" x14ac:dyDescent="0.25">
      <c r="A19" s="10" t="s">
        <v>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AKASA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2020-05-22T09:01:33Z</dcterms:created>
  <dcterms:modified xsi:type="dcterms:W3CDTF">2025-11-10T07:38:35Z</dcterms:modified>
</cp:coreProperties>
</file>