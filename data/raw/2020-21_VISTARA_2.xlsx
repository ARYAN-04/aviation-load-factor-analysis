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16. VISTARA\"/>
    </mc:Choice>
  </mc:AlternateContent>
  <bookViews>
    <workbookView xWindow="0" yWindow="0" windowWidth="24000" windowHeight="9735"/>
  </bookViews>
  <sheets>
    <sheet name="VISTA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1" l="1"/>
  <c r="Q9" i="1"/>
  <c r="Q18" i="1" l="1"/>
  <c r="H10" i="1" l="1"/>
  <c r="H11" i="1"/>
  <c r="H12" i="1"/>
  <c r="H13" i="1"/>
  <c r="H14" i="1"/>
  <c r="H15" i="1"/>
  <c r="H16" i="1"/>
  <c r="H17" i="1"/>
  <c r="H9" i="1"/>
  <c r="H8" i="1"/>
  <c r="O9" i="1" l="1"/>
  <c r="O10" i="1"/>
  <c r="O11" i="1"/>
  <c r="O12" i="1"/>
  <c r="O13" i="1"/>
  <c r="O14" i="1"/>
  <c r="O15" i="1"/>
  <c r="O16" i="1"/>
  <c r="O17" i="1"/>
  <c r="O8" i="1"/>
  <c r="Q17" i="1" l="1"/>
  <c r="Q16" i="1"/>
  <c r="Q15" i="1"/>
  <c r="Q14" i="1"/>
  <c r="Q13" i="1"/>
  <c r="Q12" i="1"/>
  <c r="Q11" i="1"/>
  <c r="Q10" i="1"/>
  <c r="P18" i="1"/>
  <c r="N18" i="1"/>
  <c r="M18" i="1"/>
  <c r="O18" i="1" s="1"/>
  <c r="L18" i="1"/>
  <c r="K18" i="1"/>
  <c r="J18" i="1"/>
  <c r="I18" i="1"/>
  <c r="G18" i="1"/>
  <c r="F18" i="1"/>
  <c r="H18" i="1" s="1"/>
  <c r="E18" i="1"/>
  <c r="D18" i="1"/>
  <c r="C18" i="1"/>
  <c r="B18" i="1"/>
</calcChain>
</file>

<file path=xl/sharedStrings.xml><?xml version="1.0" encoding="utf-8"?>
<sst xmlns="http://schemas.openxmlformats.org/spreadsheetml/2006/main" count="27" uniqueCount="25">
  <si>
    <t>SOURCE:-  ICAO ATR FORM 'A' FURNISHED BY VISTARA</t>
  </si>
  <si>
    <t xml:space="preserve"> TOTAL</t>
  </si>
  <si>
    <t xml:space="preserve"> MAIL</t>
  </si>
  <si>
    <t>FREIGHT</t>
  </si>
  <si>
    <t xml:space="preserve"> PAX.</t>
  </si>
  <si>
    <t xml:space="preserve"> FREIGHT </t>
  </si>
  <si>
    <t>KMS.PERFORMED (MILLION)</t>
  </si>
  <si>
    <t>CARRIED (NOS.)</t>
  </si>
  <si>
    <t xml:space="preserve">  KMS. (THOUSANDS)</t>
  </si>
  <si>
    <t>HOURS (NOS.)</t>
  </si>
  <si>
    <t>DEPARTURES (NOS.)</t>
  </si>
  <si>
    <t xml:space="preserve"> WEIGHT LOAD FACTOR (%)</t>
  </si>
  <si>
    <t>AVAILABLE TONNE KILOMETERS (MILLION)</t>
  </si>
  <si>
    <t xml:space="preserve">    TON  KMS. PERFORMED (MILLION)</t>
  </si>
  <si>
    <t xml:space="preserve"> CARGO CARRIED (TON)</t>
  </si>
  <si>
    <t xml:space="preserve"> PAX. LOAD FACTOR (%)</t>
  </si>
  <si>
    <t>AVAILABLE SEAT KILOMETERS (MILLION)</t>
  </si>
  <si>
    <t xml:space="preserve">    PASSENGERS</t>
  </si>
  <si>
    <t>AIRCRAFT FLOWN</t>
  </si>
  <si>
    <t>MONTH</t>
  </si>
  <si>
    <t>Table 1.02 (VISTARA)</t>
  </si>
  <si>
    <t xml:space="preserve">तालिका - 1.02 (विस्तारा) </t>
  </si>
  <si>
    <t>2020-21</t>
  </si>
  <si>
    <t>* DENOTES that THE INTERNATIONAL OPERATIONS BY SCHEDULED INDIAN OPERATORS WERE CARRIED AS PER DGCA’S CIRCULAR DATED 26.03.2020 UNDER COVID-19 RESTRICTION.</t>
  </si>
  <si>
    <t>MONTHLY TRAFFIC AND OPERATING STATISTICS OF VISTARA ON SCHEDULED INTERNATIONAL*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</si>
</sst>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164" fontId="2" fillId="3" borderId="1" xfId="3" applyNumberFormat="1" applyFont="1" applyBorder="1" applyAlignment="1" applyProtection="1">
      <alignment horizontal="center" vertical="center" wrapText="1"/>
    </xf>
    <xf numFmtId="0" fontId="2" fillId="3" borderId="1" xfId="3" applyFont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164" fontId="1" fillId="3" borderId="1" xfId="3" applyNumberFormat="1" applyBorder="1" applyAlignment="1">
      <alignment horizontal="center" vertical="center"/>
    </xf>
    <xf numFmtId="17" fontId="1" fillId="3" borderId="1" xfId="3" applyNumberFormat="1" applyBorder="1" applyAlignment="1" applyProtection="1">
      <alignment horizontal="center" vertical="center" wrapText="1"/>
    </xf>
    <xf numFmtId="0" fontId="6" fillId="2" borderId="1" xfId="2" applyFont="1" applyBorder="1" applyAlignment="1" applyProtection="1">
      <alignment horizontal="center" vertical="center" textRotation="90" wrapText="1"/>
    </xf>
    <xf numFmtId="164" fontId="1" fillId="5" borderId="1" xfId="3" applyNumberFormat="1" applyFill="1" applyBorder="1" applyAlignment="1">
      <alignment horizontal="center" vertical="center"/>
    </xf>
    <xf numFmtId="164" fontId="2" fillId="3" borderId="1" xfId="3" applyNumberFormat="1" applyFont="1" applyBorder="1" applyAlignment="1">
      <alignment horizontal="center" vertical="center"/>
    </xf>
    <xf numFmtId="164" fontId="2" fillId="6" borderId="1" xfId="3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wrapText="1"/>
    </xf>
    <xf numFmtId="0" fontId="4" fillId="4" borderId="1" xfId="0" applyFont="1" applyFill="1" applyBorder="1" applyAlignment="1" applyProtection="1">
      <alignment horizontal="left" vertical="center" wrapText="1"/>
    </xf>
    <xf numFmtId="0" fontId="6" fillId="3" borderId="1" xfId="3" applyFont="1" applyBorder="1" applyAlignment="1">
      <alignment horizontal="center" vertical="center" wrapText="1"/>
    </xf>
    <xf numFmtId="0" fontId="6" fillId="3" borderId="1" xfId="3" quotePrefix="1" applyFont="1" applyBorder="1" applyAlignment="1" applyProtection="1">
      <alignment horizontal="center" vertical="center" wrapText="1"/>
    </xf>
    <xf numFmtId="0" fontId="6" fillId="3" borderId="1" xfId="3" applyFont="1" applyBorder="1"/>
    <xf numFmtId="0" fontId="6" fillId="2" borderId="1" xfId="2" applyFont="1" applyBorder="1" applyAlignment="1" applyProtection="1">
      <alignment horizontal="center" vertical="center" wrapText="1"/>
    </xf>
    <xf numFmtId="0" fontId="6" fillId="2" borderId="1" xfId="2" applyFont="1" applyBorder="1"/>
    <xf numFmtId="0" fontId="6" fillId="2" borderId="1" xfId="2" applyFont="1" applyBorder="1" applyAlignment="1" applyProtection="1">
      <alignment horizontal="center" vertical="center" textRotation="90" wrapText="1"/>
    </xf>
    <xf numFmtId="0" fontId="6" fillId="2" borderId="1" xfId="2" applyFont="1" applyBorder="1" applyAlignment="1">
      <alignment textRotation="90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topLeftCell="G10" zoomScale="95" zoomScaleNormal="95" workbookViewId="0">
      <selection activeCell="P24" sqref="P24"/>
    </sheetView>
  </sheetViews>
  <sheetFormatPr defaultRowHeight="15" x14ac:dyDescent="0.25"/>
  <cols>
    <col min="1" max="1" width="10.42578125" customWidth="1"/>
    <col min="2" max="2" width="8.140625" customWidth="1"/>
    <col min="3" max="3" width="8.28515625" customWidth="1"/>
    <col min="4" max="4" width="8.42578125" customWidth="1"/>
    <col min="5" max="5" width="11.140625" customWidth="1"/>
    <col min="6" max="6" width="12.140625" customWidth="1"/>
    <col min="7" max="7" width="11" customWidth="1"/>
    <col min="8" max="8" width="7.42578125" customWidth="1"/>
    <col min="9" max="9" width="9.28515625" customWidth="1"/>
    <col min="10" max="10" width="7.42578125" customWidth="1"/>
    <col min="11" max="11" width="8.5703125" customWidth="1"/>
    <col min="12" max="12" width="9.7109375" customWidth="1"/>
    <col min="13" max="13" width="9.140625" customWidth="1"/>
    <col min="14" max="14" width="7.42578125" customWidth="1"/>
    <col min="15" max="15" width="9.85546875" customWidth="1"/>
    <col min="16" max="16" width="11.85546875" customWidth="1"/>
    <col min="17" max="17" width="7.28515625" customWidth="1"/>
  </cols>
  <sheetData>
    <row r="1" spans="1:17" ht="19.149999999999999" customHeight="1" x14ac:dyDescent="0.25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9.149999999999999" customHeight="1" x14ac:dyDescent="0.25">
      <c r="A2" s="13" t="s">
        <v>20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9.149999999999999" customHeight="1" x14ac:dyDescent="0.25">
      <c r="A3" s="15" t="s">
        <v>24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37.9" customHeight="1" x14ac:dyDescent="0.25">
      <c r="A4" s="15" t="s">
        <v>19</v>
      </c>
      <c r="B4" s="15" t="s">
        <v>18</v>
      </c>
      <c r="C4" s="15"/>
      <c r="D4" s="15"/>
      <c r="E4" s="15" t="s">
        <v>17</v>
      </c>
      <c r="F4" s="16"/>
      <c r="G4" s="17" t="s">
        <v>16</v>
      </c>
      <c r="H4" s="17" t="s">
        <v>15</v>
      </c>
      <c r="I4" s="15" t="s">
        <v>14</v>
      </c>
      <c r="J4" s="15"/>
      <c r="K4" s="15"/>
      <c r="L4" s="15" t="s">
        <v>13</v>
      </c>
      <c r="M4" s="15"/>
      <c r="N4" s="15"/>
      <c r="O4" s="15"/>
      <c r="P4" s="17" t="s">
        <v>12</v>
      </c>
      <c r="Q4" s="17" t="s">
        <v>11</v>
      </c>
    </row>
    <row r="5" spans="1:17" ht="99" customHeight="1" x14ac:dyDescent="0.25">
      <c r="A5" s="15"/>
      <c r="B5" s="6" t="s">
        <v>10</v>
      </c>
      <c r="C5" s="6" t="s">
        <v>9</v>
      </c>
      <c r="D5" s="6" t="s">
        <v>8</v>
      </c>
      <c r="E5" s="6" t="s">
        <v>7</v>
      </c>
      <c r="F5" s="6" t="s">
        <v>6</v>
      </c>
      <c r="G5" s="18"/>
      <c r="H5" s="18"/>
      <c r="I5" s="6" t="s">
        <v>5</v>
      </c>
      <c r="J5" s="6" t="s">
        <v>2</v>
      </c>
      <c r="K5" s="6" t="s">
        <v>1</v>
      </c>
      <c r="L5" s="6" t="s">
        <v>4</v>
      </c>
      <c r="M5" s="6" t="s">
        <v>3</v>
      </c>
      <c r="N5" s="6" t="s">
        <v>2</v>
      </c>
      <c r="O5" s="6" t="s">
        <v>1</v>
      </c>
      <c r="P5" s="18"/>
      <c r="Q5" s="18"/>
    </row>
    <row r="6" spans="1:17" ht="19.899999999999999" customHeight="1" x14ac:dyDescent="0.25">
      <c r="A6" s="5">
        <v>43922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  <row r="7" spans="1:17" ht="19.899999999999999" customHeight="1" x14ac:dyDescent="0.25">
      <c r="A7" s="5">
        <v>43952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ht="19.899999999999999" customHeight="1" x14ac:dyDescent="0.25">
      <c r="A8" s="5">
        <v>43983</v>
      </c>
      <c r="B8" s="4">
        <v>4</v>
      </c>
      <c r="C8" s="4">
        <v>26.23</v>
      </c>
      <c r="D8" s="4">
        <v>11.42</v>
      </c>
      <c r="E8" s="4">
        <v>357</v>
      </c>
      <c r="F8" s="4">
        <v>0.85857000000000006</v>
      </c>
      <c r="G8" s="4">
        <v>1.8728800000000001</v>
      </c>
      <c r="H8" s="4">
        <f>F8/G8*100</f>
        <v>45.842232283969075</v>
      </c>
      <c r="I8" s="4"/>
      <c r="J8" s="4">
        <v>0</v>
      </c>
      <c r="K8" s="4">
        <v>0</v>
      </c>
      <c r="L8" s="4">
        <v>9.014984999999999E-2</v>
      </c>
      <c r="M8" s="4">
        <v>0</v>
      </c>
      <c r="N8" s="4">
        <v>0</v>
      </c>
      <c r="O8" s="4">
        <f>L8+M8</f>
        <v>9.014984999999999E-2</v>
      </c>
      <c r="P8" s="4">
        <v>0.191856</v>
      </c>
      <c r="Q8" s="4">
        <f t="shared" ref="Q8:Q17" si="0">O8/P8*100</f>
        <v>46.988288091068299</v>
      </c>
    </row>
    <row r="9" spans="1:17" ht="19.899999999999999" customHeight="1" x14ac:dyDescent="0.25">
      <c r="A9" s="5">
        <v>44013</v>
      </c>
      <c r="B9" s="3">
        <v>6</v>
      </c>
      <c r="C9" s="3">
        <v>16.059999999999999</v>
      </c>
      <c r="D9" s="3">
        <v>11.827999999999999</v>
      </c>
      <c r="E9" s="3">
        <v>787</v>
      </c>
      <c r="F9" s="3">
        <v>1.5573759999999999</v>
      </c>
      <c r="G9" s="3">
        <v>1.939792</v>
      </c>
      <c r="H9" s="7">
        <f>F9/G9*100</f>
        <v>80.285721355691749</v>
      </c>
      <c r="I9" s="3"/>
      <c r="J9" s="3">
        <v>0</v>
      </c>
      <c r="K9" s="3">
        <v>0</v>
      </c>
      <c r="L9" s="3">
        <v>0.16352448</v>
      </c>
      <c r="M9" s="3">
        <v>0</v>
      </c>
      <c r="N9" s="3">
        <v>0</v>
      </c>
      <c r="O9" s="7">
        <f t="shared" ref="O9:O18" si="1">L9+M9</f>
        <v>0.16352448</v>
      </c>
      <c r="P9" s="3">
        <v>0.19871039999999998</v>
      </c>
      <c r="Q9" s="3">
        <f t="shared" si="0"/>
        <v>82.292864389584039</v>
      </c>
    </row>
    <row r="10" spans="1:17" ht="19.899999999999999" customHeight="1" x14ac:dyDescent="0.25">
      <c r="A10" s="5">
        <v>44044</v>
      </c>
      <c r="B10" s="4">
        <v>56</v>
      </c>
      <c r="C10" s="4">
        <v>188.42</v>
      </c>
      <c r="D10" s="4">
        <v>143.941</v>
      </c>
      <c r="E10" s="4">
        <v>5000</v>
      </c>
      <c r="F10" s="4">
        <v>12.240990000000002</v>
      </c>
      <c r="G10" s="4">
        <v>27.255976</v>
      </c>
      <c r="H10" s="4">
        <f t="shared" ref="H10:H17" si="2">F10/G10*100</f>
        <v>44.911215067110426</v>
      </c>
      <c r="I10" s="4">
        <v>55.831000000000003</v>
      </c>
      <c r="J10" s="4"/>
      <c r="K10" s="4">
        <v>55.831000000000003</v>
      </c>
      <c r="L10" s="4">
        <v>1.2853039500000001</v>
      </c>
      <c r="M10" s="4">
        <v>0.28668117999999998</v>
      </c>
      <c r="N10" s="4">
        <v>0</v>
      </c>
      <c r="O10" s="4">
        <f t="shared" si="1"/>
        <v>1.5719851300000001</v>
      </c>
      <c r="P10" s="4">
        <v>3.3980941000000007</v>
      </c>
      <c r="Q10" s="4">
        <f t="shared" si="0"/>
        <v>46.260788657971531</v>
      </c>
    </row>
    <row r="11" spans="1:17" ht="19.899999999999999" customHeight="1" x14ac:dyDescent="0.25">
      <c r="A11" s="5">
        <v>44075</v>
      </c>
      <c r="B11" s="3">
        <v>185</v>
      </c>
      <c r="C11" s="3">
        <v>611.19000000000005</v>
      </c>
      <c r="D11" s="3">
        <v>539.00900000000001</v>
      </c>
      <c r="E11" s="3">
        <v>19790</v>
      </c>
      <c r="F11" s="3">
        <v>64.018776000000003</v>
      </c>
      <c r="G11" s="3">
        <v>118.53091599999999</v>
      </c>
      <c r="H11" s="7">
        <f t="shared" si="2"/>
        <v>54.010192581317774</v>
      </c>
      <c r="I11" s="3">
        <v>496.90049999999997</v>
      </c>
      <c r="J11" s="3"/>
      <c r="K11" s="3">
        <v>496.90049999999997</v>
      </c>
      <c r="L11" s="3">
        <v>6.7219714800000014</v>
      </c>
      <c r="M11" s="3">
        <v>3.1005511520000009</v>
      </c>
      <c r="N11" s="3">
        <v>0</v>
      </c>
      <c r="O11" s="7">
        <f t="shared" si="1"/>
        <v>9.8225226320000019</v>
      </c>
      <c r="P11" s="3">
        <v>17.066805599999999</v>
      </c>
      <c r="Q11" s="3">
        <f t="shared" si="0"/>
        <v>57.553375026431439</v>
      </c>
    </row>
    <row r="12" spans="1:17" ht="19.899999999999999" customHeight="1" x14ac:dyDescent="0.25">
      <c r="A12" s="5">
        <v>44105</v>
      </c>
      <c r="B12" s="4">
        <v>171</v>
      </c>
      <c r="C12" s="4">
        <v>672.32</v>
      </c>
      <c r="D12" s="4">
        <v>518.76400000000001</v>
      </c>
      <c r="E12" s="4">
        <v>21809</v>
      </c>
      <c r="F12" s="4">
        <v>69.392452999999989</v>
      </c>
      <c r="G12" s="4">
        <v>119.047112</v>
      </c>
      <c r="H12" s="4">
        <f t="shared" si="2"/>
        <v>58.289908788379506</v>
      </c>
      <c r="I12" s="4">
        <v>709.35500000000002</v>
      </c>
      <c r="J12" s="4"/>
      <c r="K12" s="4">
        <v>709.35500000000002</v>
      </c>
      <c r="L12" s="4">
        <v>7.2862075650000007</v>
      </c>
      <c r="M12" s="4">
        <v>4.0613270500000009</v>
      </c>
      <c r="N12" s="4">
        <v>0</v>
      </c>
      <c r="O12" s="4">
        <f t="shared" si="1"/>
        <v>11.347534615000001</v>
      </c>
      <c r="P12" s="4">
        <v>17.417731199999999</v>
      </c>
      <c r="Q12" s="4">
        <f t="shared" si="0"/>
        <v>65.149326767656177</v>
      </c>
    </row>
    <row r="13" spans="1:17" ht="19.899999999999999" customHeight="1" x14ac:dyDescent="0.25">
      <c r="A13" s="5">
        <v>44136</v>
      </c>
      <c r="B13" s="3">
        <v>180</v>
      </c>
      <c r="C13" s="3">
        <v>669.57</v>
      </c>
      <c r="D13" s="3">
        <v>500.98</v>
      </c>
      <c r="E13" s="3">
        <v>20584</v>
      </c>
      <c r="F13" s="3">
        <v>57.768335</v>
      </c>
      <c r="G13" s="3">
        <v>110.87643199999999</v>
      </c>
      <c r="H13" s="7">
        <f t="shared" si="2"/>
        <v>52.101545800102954</v>
      </c>
      <c r="I13" s="3">
        <v>664.83799999999997</v>
      </c>
      <c r="J13" s="3"/>
      <c r="K13" s="3">
        <v>664.83799999999997</v>
      </c>
      <c r="L13" s="3">
        <v>6.0656751749999991</v>
      </c>
      <c r="M13" s="3">
        <v>4.0427400139999996</v>
      </c>
      <c r="N13" s="3">
        <v>0</v>
      </c>
      <c r="O13" s="7">
        <f t="shared" si="1"/>
        <v>10.108415188999999</v>
      </c>
      <c r="P13" s="3">
        <v>15.681968000000001</v>
      </c>
      <c r="Q13" s="3">
        <f t="shared" si="0"/>
        <v>64.458843360731237</v>
      </c>
    </row>
    <row r="14" spans="1:17" ht="19.899999999999999" customHeight="1" x14ac:dyDescent="0.25">
      <c r="A14" s="5">
        <v>44166</v>
      </c>
      <c r="B14" s="4">
        <v>239</v>
      </c>
      <c r="C14" s="4">
        <v>873.13</v>
      </c>
      <c r="D14" s="4">
        <v>643.67100000000005</v>
      </c>
      <c r="E14" s="4">
        <v>29791</v>
      </c>
      <c r="F14" s="4">
        <v>89.965289999999996</v>
      </c>
      <c r="G14" s="4">
        <v>134.70150000000001</v>
      </c>
      <c r="H14" s="4">
        <f t="shared" si="2"/>
        <v>66.788632643289048</v>
      </c>
      <c r="I14" s="4">
        <v>525.37900000000002</v>
      </c>
      <c r="J14" s="4"/>
      <c r="K14" s="4">
        <v>525.37900000000002</v>
      </c>
      <c r="L14" s="4">
        <v>9.4463554500000022</v>
      </c>
      <c r="M14" s="4">
        <v>3.0320187199999995</v>
      </c>
      <c r="N14" s="4">
        <v>0</v>
      </c>
      <c r="O14" s="4">
        <f t="shared" si="1"/>
        <v>12.478374170000002</v>
      </c>
      <c r="P14" s="4">
        <v>18.1275032</v>
      </c>
      <c r="Q14" s="4">
        <f t="shared" si="0"/>
        <v>68.836695447390696</v>
      </c>
    </row>
    <row r="15" spans="1:17" ht="19.899999999999999" customHeight="1" x14ac:dyDescent="0.25">
      <c r="A15" s="5">
        <v>44197</v>
      </c>
      <c r="B15" s="3">
        <v>136</v>
      </c>
      <c r="C15" s="3">
        <v>516.27</v>
      </c>
      <c r="D15" s="3">
        <v>377.31</v>
      </c>
      <c r="E15" s="3">
        <v>12733</v>
      </c>
      <c r="F15" s="3">
        <v>42.591728000000003</v>
      </c>
      <c r="G15" s="3">
        <v>79.212564000000015</v>
      </c>
      <c r="H15" s="7">
        <f t="shared" si="2"/>
        <v>53.768904639925552</v>
      </c>
      <c r="I15" s="3">
        <v>219.483</v>
      </c>
      <c r="J15" s="3"/>
      <c r="K15" s="3">
        <v>219.483</v>
      </c>
      <c r="L15" s="3">
        <v>4.4721314400000001</v>
      </c>
      <c r="M15" s="3">
        <v>1.2806670450000002</v>
      </c>
      <c r="N15" s="3">
        <v>0</v>
      </c>
      <c r="O15" s="7">
        <f t="shared" si="1"/>
        <v>5.7527984850000005</v>
      </c>
      <c r="P15" s="3">
        <v>9.9109207999999995</v>
      </c>
      <c r="Q15" s="3">
        <f t="shared" si="0"/>
        <v>58.045045471456106</v>
      </c>
    </row>
    <row r="16" spans="1:17" ht="19.899999999999999" customHeight="1" x14ac:dyDescent="0.25">
      <c r="A16" s="5">
        <v>44228</v>
      </c>
      <c r="B16" s="4">
        <v>156</v>
      </c>
      <c r="C16" s="4">
        <v>581.55999999999995</v>
      </c>
      <c r="D16" s="4">
        <v>434.91899999999998</v>
      </c>
      <c r="E16" s="4">
        <v>15243</v>
      </c>
      <c r="F16" s="4">
        <v>49.987303999999995</v>
      </c>
      <c r="G16" s="4">
        <v>94.827023999999994</v>
      </c>
      <c r="H16" s="4">
        <f t="shared" si="2"/>
        <v>52.714196746277729</v>
      </c>
      <c r="I16" s="4">
        <v>378.78100000000001</v>
      </c>
      <c r="J16" s="4"/>
      <c r="K16" s="4">
        <v>378.78100000000001</v>
      </c>
      <c r="L16" s="4">
        <v>5.2486669199999998</v>
      </c>
      <c r="M16" s="4">
        <v>2.23690027</v>
      </c>
      <c r="N16" s="4">
        <v>0</v>
      </c>
      <c r="O16" s="4">
        <f t="shared" si="1"/>
        <v>7.4855671899999994</v>
      </c>
      <c r="P16" s="4">
        <v>13.3314112</v>
      </c>
      <c r="Q16" s="4">
        <f t="shared" si="0"/>
        <v>56.149848487157904</v>
      </c>
    </row>
    <row r="17" spans="1:17" ht="19.899999999999999" customHeight="1" x14ac:dyDescent="0.25">
      <c r="A17" s="5">
        <v>44256</v>
      </c>
      <c r="B17" s="3">
        <v>191</v>
      </c>
      <c r="C17" s="3">
        <v>715.31</v>
      </c>
      <c r="D17" s="3">
        <v>532.48</v>
      </c>
      <c r="E17" s="3">
        <v>19597</v>
      </c>
      <c r="F17" s="3">
        <v>63.319465000000001</v>
      </c>
      <c r="G17" s="3">
        <v>117.55461199999999</v>
      </c>
      <c r="H17" s="7">
        <f t="shared" si="2"/>
        <v>53.863871372396687</v>
      </c>
      <c r="I17" s="3">
        <v>541.03200000000004</v>
      </c>
      <c r="J17" s="3"/>
      <c r="K17" s="3">
        <v>541.03200000000004</v>
      </c>
      <c r="L17" s="3">
        <v>6.648543825</v>
      </c>
      <c r="M17" s="3">
        <v>3.1914389160000001</v>
      </c>
      <c r="N17" s="3">
        <v>0</v>
      </c>
      <c r="O17" s="7">
        <f t="shared" si="1"/>
        <v>9.839982741</v>
      </c>
      <c r="P17" s="3">
        <v>16.760266399999999</v>
      </c>
      <c r="Q17" s="3">
        <f t="shared" si="0"/>
        <v>58.710181008817386</v>
      </c>
    </row>
    <row r="18" spans="1:17" ht="19.899999999999999" customHeight="1" x14ac:dyDescent="0.25">
      <c r="A18" s="2" t="s">
        <v>22</v>
      </c>
      <c r="B18" s="1">
        <f>SUM(B6:B17)</f>
        <v>1324</v>
      </c>
      <c r="C18" s="1">
        <f t="shared" ref="C18:G18" si="3">SUM(C6:C17)</f>
        <v>4870.0599999999995</v>
      </c>
      <c r="D18" s="1">
        <f t="shared" si="3"/>
        <v>3714.3220000000001</v>
      </c>
      <c r="E18" s="1">
        <f>SUM(E6:E17)</f>
        <v>145691</v>
      </c>
      <c r="F18" s="1">
        <f t="shared" si="3"/>
        <v>451.70028699999995</v>
      </c>
      <c r="G18" s="1">
        <f t="shared" si="3"/>
        <v>805.8188080000001</v>
      </c>
      <c r="H18" s="9">
        <f>F18/G18*100</f>
        <v>56.05482057698508</v>
      </c>
      <c r="I18" s="1">
        <f t="shared" ref="I18:P18" si="4">SUM(I6:I17)</f>
        <v>3591.5995000000003</v>
      </c>
      <c r="J18" s="1">
        <f t="shared" si="4"/>
        <v>0</v>
      </c>
      <c r="K18" s="1">
        <f t="shared" si="4"/>
        <v>3591.5995000000003</v>
      </c>
      <c r="L18" s="1">
        <f t="shared" si="4"/>
        <v>47.428530134999995</v>
      </c>
      <c r="M18" s="1">
        <f t="shared" si="4"/>
        <v>21.232324347000002</v>
      </c>
      <c r="N18" s="1">
        <f t="shared" si="4"/>
        <v>0</v>
      </c>
      <c r="O18" s="8">
        <f t="shared" si="1"/>
        <v>68.660854481999991</v>
      </c>
      <c r="P18" s="1">
        <f t="shared" si="4"/>
        <v>112.08526690000002</v>
      </c>
      <c r="Q18" s="1">
        <f>O18/P18*100</f>
        <v>61.257698162290744</v>
      </c>
    </row>
    <row r="19" spans="1:17" ht="19.899999999999999" customHeight="1" x14ac:dyDescent="0.25">
      <c r="A19" s="11" t="s">
        <v>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ht="29.25" customHeight="1" x14ac:dyDescent="0.25">
      <c r="A20" s="10" t="s">
        <v>23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</sheetData>
  <mergeCells count="14">
    <mergeCell ref="A20:Q20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TCS Terminal 2</cp:lastModifiedBy>
  <cp:lastPrinted>2021-09-15T01:37:34Z</cp:lastPrinted>
  <dcterms:created xsi:type="dcterms:W3CDTF">2020-05-22T09:14:10Z</dcterms:created>
  <dcterms:modified xsi:type="dcterms:W3CDTF">2022-04-21T08:18:33Z</dcterms:modified>
</cp:coreProperties>
</file>