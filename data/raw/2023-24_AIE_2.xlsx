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AIR INDIA EXPRESS\"/>
    </mc:Choice>
  </mc:AlternateContent>
  <bookViews>
    <workbookView xWindow="0" yWindow="0" windowWidth="24000" windowHeight="10725"/>
  </bookViews>
  <sheets>
    <sheet name="AIR INDIA EXPRESS" sheetId="1" r:id="rId1"/>
  </sheets>
  <definedNames>
    <definedName name="_xlnm.Print_Area" localSheetId="0">'AIR INDIA EXPRESS'!$A$1:$Q$19</definedName>
  </definedName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  <c r="P18" i="1"/>
  <c r="O18" i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Q18" i="1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<sst xmlns="http://schemas.openxmlformats.org/spreadsheetml/2006/main" count="26" uniqueCount="24">
  <si>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</si>
  <si>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</si>
  <si>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</si>
  <si>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</si>
  <si>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</si>
  <si>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</si>
  <si>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</si>
  <si>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</si>
  <si>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</si>
  <si>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</si>
  <si>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</si>
  <si>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</si>
  <si>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</si>
  <si>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</si>
  <si>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</si>
  <si>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</si>
  <si>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</si>
  <si>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</si>
  <si>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</si>
  <si>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 EXPRESS</t>
  </si>
  <si>
    <t>तालिका - 1.02 एयर इंडिया एक्सप्रेस (राष्ट्रीय)</t>
  </si>
  <si>
    <t>Table 1.02  AIR INDIA EXPRESS</t>
  </si>
  <si>
    <t>2023-24</t>
  </si>
  <si>
    <t>MONTHLY TRAFFIC AND OPERATING STATISTICS OF AIR INDIA EXPRESS ON SCHEDULED INTERNATIONAL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</si>
</sst>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-409]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164" fontId="1" fillId="3" borderId="1" xfId="3" applyNumberFormat="1" applyBorder="1" applyAlignment="1">
      <alignment horizontal="right" vertical="center"/>
    </xf>
    <xf numFmtId="165" fontId="1" fillId="3" borderId="1" xfId="3" applyNumberFormat="1" applyBorder="1" applyAlignment="1">
      <alignment horizontal="right" vertical="center"/>
    </xf>
    <xf numFmtId="43" fontId="0" fillId="3" borderId="1" xfId="3" applyNumberFormat="1" applyFont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 vertical="center"/>
    </xf>
    <xf numFmtId="43" fontId="5" fillId="0" borderId="1" xfId="1" applyNumberFormat="1" applyFont="1" applyFill="1" applyBorder="1" applyAlignment="1">
      <alignment horizontal="right" vertical="center"/>
    </xf>
    <xf numFmtId="43" fontId="1" fillId="3" borderId="1" xfId="3" applyNumberForma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164" fontId="2" fillId="3" borderId="1" xfId="3" applyNumberFormat="1" applyFont="1" applyBorder="1" applyAlignment="1" applyProtection="1">
      <alignment horizontal="right" vertical="center" wrapText="1"/>
    </xf>
    <xf numFmtId="165" fontId="2" fillId="3" borderId="1" xfId="3" applyNumberFormat="1" applyFont="1" applyBorder="1" applyAlignment="1" applyProtection="1">
      <alignment horizontal="right" vertical="center" wrapText="1"/>
    </xf>
    <xf numFmtId="43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6" fontId="1" fillId="3" borderId="1" xfId="3" applyNumberFormat="1" applyBorder="1" applyAlignment="1" applyProtection="1">
      <alignment horizontal="center" vertical="center"/>
    </xf>
    <xf numFmtId="166" fontId="4" fillId="4" borderId="1" xfId="0" applyNumberFormat="1" applyFont="1" applyFill="1" applyBorder="1" applyAlignment="1" applyProtection="1">
      <alignment horizontal="center" vertical="center"/>
    </xf>
    <xf numFmtId="166" fontId="0" fillId="3" borderId="1" xfId="3" applyNumberFormat="1" applyFont="1" applyBorder="1" applyAlignment="1" applyProtection="1">
      <alignment horizontal="center" vertical="center"/>
    </xf>
    <xf numFmtId="0" fontId="2" fillId="0" borderId="2" xfId="0" applyFont="1" applyBorder="1" applyAlignment="1">
      <alignment horizontal="left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topLeftCell="A4" zoomScale="112" zoomScaleNormal="112" zoomScaleSheetLayoutView="112" workbookViewId="0">
      <selection activeCell="H18" sqref="H18"/>
    </sheetView>
  </sheetViews>
  <sheetFormatPr defaultRowHeight="15" x14ac:dyDescent="0.25"/>
  <cols>
    <col min="1" max="1" width="15.140625" customWidth="1"/>
    <col min="2" max="2" width="8.28515625" customWidth="1"/>
    <col min="3" max="3" width="9.140625" customWidth="1"/>
    <col min="4" max="4" width="8.28515625" customWidth="1"/>
    <col min="5" max="5" width="11.140625" bestFit="1" customWidth="1"/>
    <col min="6" max="6" width="8" customWidth="1"/>
    <col min="7" max="7" width="8.28515625" customWidth="1"/>
    <col min="8" max="8" width="7.5703125" customWidth="1"/>
    <col min="9" max="9" width="8.85546875" customWidth="1"/>
    <col min="10" max="10" width="5.5703125" customWidth="1"/>
    <col min="11" max="11" width="10" customWidth="1"/>
    <col min="12" max="12" width="9" customWidth="1"/>
    <col min="13" max="13" width="6.7109375" customWidth="1"/>
    <col min="14" max="14" width="6" customWidth="1"/>
    <col min="15" max="15" width="8.5703125" customWidth="1"/>
    <col min="16" max="16" width="8.7109375" customWidth="1"/>
    <col min="17" max="17" width="7" customWidth="1"/>
  </cols>
  <sheetData>
    <row r="1" spans="1:17" ht="15" customHeight="1" x14ac:dyDescent="0.25">
      <c r="A1" s="20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5" customHeight="1" x14ac:dyDescent="0.25">
      <c r="A2" s="21" t="s">
        <v>21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5" customHeight="1" x14ac:dyDescent="0.25">
      <c r="A3" s="23" t="s">
        <v>23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33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7" t="s">
        <v>3</v>
      </c>
      <c r="H4" s="17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7" t="s">
        <v>7</v>
      </c>
      <c r="Q4" s="17" t="s">
        <v>8</v>
      </c>
    </row>
    <row r="5" spans="1:17" ht="115.5" customHeight="1" x14ac:dyDescent="0.25">
      <c r="A5" s="23"/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8"/>
      <c r="H5" s="18"/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15</v>
      </c>
      <c r="O5" s="12" t="s">
        <v>16</v>
      </c>
      <c r="P5" s="18"/>
      <c r="Q5" s="18"/>
    </row>
    <row r="6" spans="1:17" x14ac:dyDescent="0.25">
      <c r="A6" s="13">
        <v>45017</v>
      </c>
      <c r="B6" s="1">
        <v>2718</v>
      </c>
      <c r="C6" s="1">
        <v>10814</v>
      </c>
      <c r="D6" s="1">
        <v>7262.6650300000001</v>
      </c>
      <c r="E6" s="1">
        <v>368248</v>
      </c>
      <c r="F6" s="1">
        <v>1002.871945</v>
      </c>
      <c r="G6" s="1">
        <v>1350.8556960000001</v>
      </c>
      <c r="H6" s="2">
        <f t="shared" ref="H6:H17" si="0">F6/G6*100</f>
        <v>74.239753955184867</v>
      </c>
      <c r="I6" s="2">
        <v>2101.9549999999999</v>
      </c>
      <c r="J6" s="2">
        <v>4.9569999999999999</v>
      </c>
      <c r="K6" s="2">
        <v>2106.9119999999998</v>
      </c>
      <c r="L6" s="2">
        <v>83.742249180000002</v>
      </c>
      <c r="M6" s="2">
        <v>5.9492663700000001</v>
      </c>
      <c r="N6" s="3">
        <v>1.465052E-2</v>
      </c>
      <c r="O6" s="2">
        <v>89.706166069999995</v>
      </c>
      <c r="P6" s="2">
        <v>129.89703015000001</v>
      </c>
      <c r="Q6" s="2">
        <f t="shared" ref="Q6:Q17" si="1">O6/P6*100</f>
        <v>69.059443442556628</v>
      </c>
    </row>
    <row r="7" spans="1:17" x14ac:dyDescent="0.25">
      <c r="A7" s="14">
        <v>45047</v>
      </c>
      <c r="B7" s="4">
        <v>2797</v>
      </c>
      <c r="C7" s="4">
        <v>11123.48</v>
      </c>
      <c r="D7" s="4">
        <v>7495.3364000000001</v>
      </c>
      <c r="E7" s="4">
        <v>444759</v>
      </c>
      <c r="F7" s="4">
        <v>1206.214557</v>
      </c>
      <c r="G7" s="4">
        <v>1394.1325710000001</v>
      </c>
      <c r="H7" s="5">
        <f t="shared" si="0"/>
        <v>86.520793078867101</v>
      </c>
      <c r="I7" s="5">
        <v>2194.558</v>
      </c>
      <c r="J7" s="5">
        <v>1.9789999999999999</v>
      </c>
      <c r="K7" s="5">
        <v>2196.5369999999998</v>
      </c>
      <c r="L7" s="5">
        <v>109.0180247</v>
      </c>
      <c r="M7" s="5">
        <v>6.1335963800000002</v>
      </c>
      <c r="N7" s="6">
        <v>5.8902600000000005E-3</v>
      </c>
      <c r="O7" s="5">
        <v>115.15751134</v>
      </c>
      <c r="P7" s="5">
        <v>140.30973170999999</v>
      </c>
      <c r="Q7" s="5">
        <f t="shared" si="1"/>
        <v>82.073787709903115</v>
      </c>
    </row>
    <row r="8" spans="1:17" x14ac:dyDescent="0.25">
      <c r="A8" s="13">
        <v>45078</v>
      </c>
      <c r="B8" s="1">
        <v>2658</v>
      </c>
      <c r="C8" s="1">
        <v>10473.017900000004</v>
      </c>
      <c r="D8" s="1">
        <v>7027.8770800000002</v>
      </c>
      <c r="E8" s="1">
        <v>402310</v>
      </c>
      <c r="F8" s="1">
        <v>1073.445684</v>
      </c>
      <c r="G8" s="1">
        <v>1307.1851369999999</v>
      </c>
      <c r="H8" s="2">
        <f t="shared" si="0"/>
        <v>82.118871582610424</v>
      </c>
      <c r="I8" s="2">
        <v>2075.8159999999998</v>
      </c>
      <c r="J8" s="2">
        <v>2.4220000000000002</v>
      </c>
      <c r="K8" s="2">
        <v>2078.2379999999998</v>
      </c>
      <c r="L8" s="2">
        <v>99.288458700000007</v>
      </c>
      <c r="M8" s="2">
        <v>5.7928643700000002</v>
      </c>
      <c r="N8" s="7">
        <v>7.2356699999999996E-3</v>
      </c>
      <c r="O8" s="2">
        <v>105.08855874</v>
      </c>
      <c r="P8" s="2">
        <v>137.46756851000001</v>
      </c>
      <c r="Q8" s="2">
        <f t="shared" si="1"/>
        <v>76.446073702362298</v>
      </c>
    </row>
    <row r="9" spans="1:17" x14ac:dyDescent="0.25">
      <c r="A9" s="14">
        <v>45108</v>
      </c>
      <c r="B9" s="4">
        <v>2738</v>
      </c>
      <c r="C9" s="4">
        <v>10808.516600000001</v>
      </c>
      <c r="D9" s="4">
        <v>7248.7264299999997</v>
      </c>
      <c r="E9" s="4">
        <v>407541</v>
      </c>
      <c r="F9" s="4">
        <v>1089.4612099999999</v>
      </c>
      <c r="G9" s="4">
        <v>1348.2631100000001</v>
      </c>
      <c r="H9" s="5">
        <f t="shared" si="0"/>
        <v>80.804792619446502</v>
      </c>
      <c r="I9" s="5">
        <v>2141.924</v>
      </c>
      <c r="J9" s="5">
        <v>2.4770000000000003</v>
      </c>
      <c r="K9" s="5">
        <v>2144.4009999999998</v>
      </c>
      <c r="L9" s="5">
        <v>98.158441499999995</v>
      </c>
      <c r="M9" s="5">
        <v>6.0210153100000001</v>
      </c>
      <c r="N9" s="6">
        <v>7.3978099999999995E-3</v>
      </c>
      <c r="O9" s="5">
        <v>104.18685461999999</v>
      </c>
      <c r="P9" s="5">
        <v>138.56590027999999</v>
      </c>
      <c r="Q9" s="5">
        <f t="shared" si="1"/>
        <v>75.189389604130383</v>
      </c>
    </row>
    <row r="10" spans="1:17" x14ac:dyDescent="0.25">
      <c r="A10" s="13">
        <v>45139</v>
      </c>
      <c r="B10" s="1">
        <v>2835</v>
      </c>
      <c r="C10" s="1">
        <v>11271.49</v>
      </c>
      <c r="D10" s="1">
        <v>7572.5083800000002</v>
      </c>
      <c r="E10" s="1">
        <v>417544</v>
      </c>
      <c r="F10" s="1">
        <v>1130.48053</v>
      </c>
      <c r="G10" s="1">
        <v>1408.4865600000001</v>
      </c>
      <c r="H10" s="2">
        <f t="shared" si="0"/>
        <v>80.262074350216011</v>
      </c>
      <c r="I10" s="2">
        <v>2429.5259999999998</v>
      </c>
      <c r="J10" s="2">
        <v>2.3810000000000002</v>
      </c>
      <c r="K10" s="2">
        <v>2431.9069999999997</v>
      </c>
      <c r="L10" s="2">
        <v>104.328557</v>
      </c>
      <c r="M10" s="2">
        <v>6.7796195600000004</v>
      </c>
      <c r="N10" s="7">
        <v>7.0152900000000004E-3</v>
      </c>
      <c r="O10" s="2">
        <v>111.11519185</v>
      </c>
      <c r="P10" s="2">
        <v>142.40680399999999</v>
      </c>
      <c r="Q10" s="2">
        <f t="shared" si="1"/>
        <v>78.026603174101155</v>
      </c>
    </row>
    <row r="11" spans="1:17" x14ac:dyDescent="0.25">
      <c r="A11" s="14">
        <v>45170</v>
      </c>
      <c r="B11" s="4">
        <v>2742</v>
      </c>
      <c r="C11" s="4">
        <v>10972.48</v>
      </c>
      <c r="D11" s="4">
        <v>7310.06</v>
      </c>
      <c r="E11" s="4">
        <v>366910</v>
      </c>
      <c r="F11" s="4">
        <v>992.05942000000005</v>
      </c>
      <c r="G11" s="4">
        <v>1359.6713300000001</v>
      </c>
      <c r="H11" s="5">
        <f t="shared" si="0"/>
        <v>72.96317853521262</v>
      </c>
      <c r="I11" s="5">
        <v>1929.0139999999999</v>
      </c>
      <c r="J11" s="5">
        <v>0.81400000000000006</v>
      </c>
      <c r="K11" s="5">
        <v>1929.828</v>
      </c>
      <c r="L11" s="5">
        <v>90.831289999999996</v>
      </c>
      <c r="M11" s="5">
        <v>5.3947799999999999</v>
      </c>
      <c r="N11" s="6">
        <v>2.2200000000000002E-3</v>
      </c>
      <c r="O11" s="5">
        <v>96.228289999999987</v>
      </c>
      <c r="P11" s="5">
        <v>129.5966</v>
      </c>
      <c r="Q11" s="5">
        <f t="shared" si="1"/>
        <v>74.25217173907339</v>
      </c>
    </row>
    <row r="12" spans="1:17" x14ac:dyDescent="0.25">
      <c r="A12" s="13">
        <v>45200</v>
      </c>
      <c r="B12" s="1">
        <v>2777</v>
      </c>
      <c r="C12" s="1">
        <v>11126.59</v>
      </c>
      <c r="D12" s="1">
        <v>7425.56023</v>
      </c>
      <c r="E12" s="1">
        <v>387544</v>
      </c>
      <c r="F12" s="1">
        <v>1041.40362</v>
      </c>
      <c r="G12" s="1">
        <v>1381.1541999999999</v>
      </c>
      <c r="H12" s="2">
        <f t="shared" si="0"/>
        <v>75.400966814567127</v>
      </c>
      <c r="I12" s="2">
        <v>2178.9659999999999</v>
      </c>
      <c r="J12" s="2">
        <v>0.32100000000000001</v>
      </c>
      <c r="K12" s="2">
        <v>2179.2869999999998</v>
      </c>
      <c r="L12" s="2">
        <v>93.446278500000005</v>
      </c>
      <c r="M12" s="2">
        <v>6.1502697799999995</v>
      </c>
      <c r="N12" s="7">
        <v>8.8692000000000003E-4</v>
      </c>
      <c r="O12" s="2">
        <v>99.597435200000007</v>
      </c>
      <c r="P12" s="2">
        <v>136.27392699999999</v>
      </c>
      <c r="Q12" s="2">
        <f t="shared" si="1"/>
        <v>73.086200267788584</v>
      </c>
    </row>
    <row r="13" spans="1:17" x14ac:dyDescent="0.25">
      <c r="A13" s="14">
        <v>45231</v>
      </c>
      <c r="B13" s="4">
        <v>2736</v>
      </c>
      <c r="C13" s="4">
        <v>10821.59</v>
      </c>
      <c r="D13" s="4">
        <v>7307.5977700000003</v>
      </c>
      <c r="E13" s="4">
        <v>406427</v>
      </c>
      <c r="F13" s="4">
        <v>1092.1653799999999</v>
      </c>
      <c r="G13" s="4">
        <v>1359.21318</v>
      </c>
      <c r="H13" s="5">
        <f t="shared" si="0"/>
        <v>80.352765561028477</v>
      </c>
      <c r="I13" s="5">
        <v>2038.502</v>
      </c>
      <c r="J13" s="5">
        <v>1.5189999999999999</v>
      </c>
      <c r="K13" s="5">
        <v>2040.021</v>
      </c>
      <c r="L13" s="5">
        <v>93.797641099999993</v>
      </c>
      <c r="M13" s="5">
        <v>5.7586580600000001</v>
      </c>
      <c r="N13" s="6">
        <v>4.4220699999999993E-3</v>
      </c>
      <c r="O13" s="5">
        <v>99.560721229999999</v>
      </c>
      <c r="P13" s="5">
        <v>129.711254</v>
      </c>
      <c r="Q13" s="5">
        <f t="shared" si="1"/>
        <v>76.755653931153887</v>
      </c>
    </row>
    <row r="14" spans="1:17" x14ac:dyDescent="0.25">
      <c r="A14" s="15">
        <v>45261</v>
      </c>
      <c r="B14" s="1">
        <v>2940</v>
      </c>
      <c r="C14" s="1">
        <v>11746.4</v>
      </c>
      <c r="D14" s="1">
        <v>7995.4493400000001</v>
      </c>
      <c r="E14" s="1">
        <v>431203</v>
      </c>
      <c r="F14" s="1">
        <v>1182.6003899999998</v>
      </c>
      <c r="G14" s="1">
        <v>1487.1535700000002</v>
      </c>
      <c r="H14" s="2">
        <f t="shared" si="0"/>
        <v>79.521067215674279</v>
      </c>
      <c r="I14" s="2">
        <v>1257.6170000000002</v>
      </c>
      <c r="J14" s="2"/>
      <c r="K14" s="2">
        <v>1257.6170000000002</v>
      </c>
      <c r="L14" s="2">
        <v>56.708193600000001</v>
      </c>
      <c r="M14" s="2">
        <v>3.6271254499999999</v>
      </c>
      <c r="N14" s="7">
        <v>0</v>
      </c>
      <c r="O14" s="2">
        <v>60.335319049999995</v>
      </c>
      <c r="P14" s="2">
        <v>79.139557400000001</v>
      </c>
      <c r="Q14" s="2">
        <f t="shared" si="1"/>
        <v>76.239141375334498</v>
      </c>
    </row>
    <row r="15" spans="1:17" x14ac:dyDescent="0.25">
      <c r="A15" s="14">
        <v>45292</v>
      </c>
      <c r="B15" s="4">
        <v>3033</v>
      </c>
      <c r="C15" s="4">
        <v>12589.749999999998</v>
      </c>
      <c r="D15" s="4">
        <v>8207.0130000000026</v>
      </c>
      <c r="E15" s="4">
        <v>465221</v>
      </c>
      <c r="F15" s="4">
        <v>1266.3979719999993</v>
      </c>
      <c r="G15" s="4">
        <v>1533.1756079999993</v>
      </c>
      <c r="H15" s="5">
        <f t="shared" si="0"/>
        <v>82.599668648002648</v>
      </c>
      <c r="I15" s="5">
        <v>1090.1575000000003</v>
      </c>
      <c r="J15" s="5"/>
      <c r="K15" s="5">
        <v>1090.1575000000003</v>
      </c>
      <c r="L15" s="5">
        <v>89.445193950000032</v>
      </c>
      <c r="M15" s="5">
        <v>5.6301916824999996</v>
      </c>
      <c r="N15" s="6">
        <v>0</v>
      </c>
      <c r="O15" s="5">
        <v>95.07538563250003</v>
      </c>
      <c r="P15" s="5">
        <v>163.62618000000003</v>
      </c>
      <c r="Q15" s="5">
        <f t="shared" si="1"/>
        <v>58.105240636003366</v>
      </c>
    </row>
    <row r="16" spans="1:17" x14ac:dyDescent="0.25">
      <c r="A16" s="13">
        <v>45323</v>
      </c>
      <c r="B16" s="1">
        <v>2910</v>
      </c>
      <c r="C16" s="1">
        <v>11970</v>
      </c>
      <c r="D16" s="1">
        <v>8008</v>
      </c>
      <c r="E16" s="1">
        <v>432768</v>
      </c>
      <c r="F16" s="1">
        <v>1181.4798420000004</v>
      </c>
      <c r="G16" s="1">
        <v>1491.6363300000007</v>
      </c>
      <c r="H16" s="2">
        <f t="shared" si="0"/>
        <v>79.206963402399822</v>
      </c>
      <c r="I16" s="2">
        <v>3156.4540000000002</v>
      </c>
      <c r="J16" s="2"/>
      <c r="K16" s="2">
        <v>3156.4540000000002</v>
      </c>
      <c r="L16" s="2">
        <v>82.105137599999978</v>
      </c>
      <c r="M16" s="2">
        <v>5.8671474039999989</v>
      </c>
      <c r="N16" s="7">
        <v>0</v>
      </c>
      <c r="O16" s="2">
        <v>87.972285003999971</v>
      </c>
      <c r="P16" s="2">
        <v>156.11744000000007</v>
      </c>
      <c r="Q16" s="2">
        <f t="shared" si="1"/>
        <v>56.350068899413117</v>
      </c>
    </row>
    <row r="17" spans="1:17" x14ac:dyDescent="0.25">
      <c r="A17" s="14">
        <v>45352</v>
      </c>
      <c r="B17" s="4">
        <v>3277</v>
      </c>
      <c r="C17" s="4">
        <v>13966.16666666667</v>
      </c>
      <c r="D17" s="4">
        <v>8912.7730000000029</v>
      </c>
      <c r="E17" s="4">
        <v>456971</v>
      </c>
      <c r="F17" s="4">
        <v>1267.3354850000001</v>
      </c>
      <c r="G17" s="4">
        <v>1696.8765459999993</v>
      </c>
      <c r="H17" s="5">
        <f t="shared" si="0"/>
        <v>74.6863693759841</v>
      </c>
      <c r="I17" s="5">
        <v>1509.8455000000004</v>
      </c>
      <c r="J17" s="5"/>
      <c r="K17" s="5">
        <v>1509.8455000000004</v>
      </c>
      <c r="L17" s="5">
        <v>86.218562924999929</v>
      </c>
      <c r="M17" s="5">
        <v>7.5885873669999961</v>
      </c>
      <c r="N17" s="6">
        <v>0</v>
      </c>
      <c r="O17" s="5">
        <v>93.807150291999932</v>
      </c>
      <c r="P17" s="5">
        <v>176.68013999999999</v>
      </c>
      <c r="Q17" s="5">
        <f t="shared" si="1"/>
        <v>53.094337763146406</v>
      </c>
    </row>
    <row r="18" spans="1:17" x14ac:dyDescent="0.25">
      <c r="A18" s="8" t="s">
        <v>22</v>
      </c>
      <c r="B18" s="9">
        <f>SUM(B6:B17)</f>
        <v>34161</v>
      </c>
      <c r="C18" s="9">
        <f t="shared" ref="C18:F18" si="2">SUM(C6:C17)</f>
        <v>137683.48116666666</v>
      </c>
      <c r="D18" s="9">
        <f t="shared" si="2"/>
        <v>91773.566660000011</v>
      </c>
      <c r="E18" s="9">
        <f t="shared" si="2"/>
        <v>4987446</v>
      </c>
      <c r="F18" s="9">
        <f t="shared" si="2"/>
        <v>13525.916034999998</v>
      </c>
      <c r="G18" s="9">
        <f>SUM(G6:G17)</f>
        <v>17117.803838</v>
      </c>
      <c r="H18" s="10">
        <f t="shared" ref="H18" si="3">F18/G18*100</f>
        <v>79.016655191325825</v>
      </c>
      <c r="I18" s="10">
        <f t="shared" ref="I18:P18" si="4">SUM(I6:I17)</f>
        <v>24104.334999999999</v>
      </c>
      <c r="J18" s="10">
        <f t="shared" si="4"/>
        <v>16.87</v>
      </c>
      <c r="K18" s="10">
        <f t="shared" si="4"/>
        <v>24121.205000000002</v>
      </c>
      <c r="L18" s="10">
        <f t="shared" si="4"/>
        <v>1087.0880287549999</v>
      </c>
      <c r="M18" s="10">
        <f t="shared" si="4"/>
        <v>70.693121733500007</v>
      </c>
      <c r="N18" s="11">
        <f t="shared" si="4"/>
        <v>4.9718539999999999E-2</v>
      </c>
      <c r="O18" s="10">
        <f t="shared" si="4"/>
        <v>1157.8308690284998</v>
      </c>
      <c r="P18" s="10">
        <f t="shared" si="4"/>
        <v>1659.7921330499998</v>
      </c>
      <c r="Q18" s="10">
        <f t="shared" ref="Q18" si="5">O18/P18*100</f>
        <v>69.757582649876383</v>
      </c>
    </row>
    <row r="19" spans="1:17" ht="15" customHeight="1" x14ac:dyDescent="0.25">
      <c r="A19" s="19" t="s">
        <v>19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17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EXPRESS</vt:lpstr>
      <vt:lpstr>'AIR INDIA EXPRESS'!Print_Area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2022-04-25T06:56:21Z</cp:lastPrinted>
  <dcterms:created xsi:type="dcterms:W3CDTF">2020-06-09T07:57:30Z</dcterms:created>
  <dcterms:modified xsi:type="dcterms:W3CDTF">2025-01-24T06:39:42Z</dcterms:modified>
</cp:coreProperties>
</file>