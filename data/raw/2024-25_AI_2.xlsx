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IR INDIA\"/>
    </mc:Choice>
  </mc:AlternateContent>
  <bookViews>
    <workbookView showHorizontalScroll="0" showVerticalScroll="0" xWindow="0" yWindow="0" windowWidth="17070" windowHeight="9660"/>
  </bookViews>
  <sheets>
    <sheet name="AIR INDIA " sheetId="1" r:id="rId1"/>
  </sheets>
  <definedNames>
    <definedName name="_xlnm.Print_Area" localSheetId="0">'AIR INDIA 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17" i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<sst xmlns="http://schemas.openxmlformats.org/spreadsheetml/2006/main" count="26" uniqueCount="24">
  <si>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</si>
  <si>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</si>
  <si>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</si>
  <si>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</si>
  <si>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</si>
  <si>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</si>
  <si>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</si>
  <si>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</si>
  <si>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</si>
  <si>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</si>
  <si>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</si>
  <si>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</si>
  <si>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</si>
  <si>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</si>
  <si>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</si>
  <si>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</si>
  <si>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</si>
  <si>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</si>
  <si>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</si>
  <si>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</si>
  <si>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 xml:space="preserve">Table 1.02 AIR INDIA </t>
  </si>
  <si>
    <t>MONTHLY TRAFFIC AND OPERATING STATISTICS OF AIR INDIA ON SCHEDULED INTERNATIONAL SERVICES DURING 2024-25</t>
  </si>
  <si>
    <t>2024-25</t>
  </si>
  <si>
    <t xml:space="preserve">तालिका - 1.02 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</si>
</sst>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4" fontId="0" fillId="4" borderId="1" xfId="3" applyNumberFormat="1" applyFont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7" fontId="3" fillId="4" borderId="1" xfId="3" applyNumberFormat="1" applyBorder="1" applyAlignment="1" applyProtection="1">
      <alignment horizontal="center" vertical="center"/>
    </xf>
    <xf numFmtId="167" fontId="2" fillId="2" borderId="1" xfId="0" applyNumberFormat="1" applyFont="1" applyFill="1" applyBorder="1" applyAlignment="1" applyProtection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Normal="100" zoomScaleSheetLayoutView="100" workbookViewId="0">
      <selection activeCell="F7" sqref="F7"/>
    </sheetView>
  </sheetViews>
  <sheetFormatPr defaultColWidth="9.140625" defaultRowHeight="15" x14ac:dyDescent="0.25"/>
  <cols>
    <col min="1" max="1" width="13.5703125" style="1" customWidth="1"/>
    <col min="2" max="2" width="7.85546875" style="1" customWidth="1"/>
    <col min="3" max="3" width="9.5703125" style="1" customWidth="1"/>
    <col min="4" max="4" width="9.28515625" style="1" customWidth="1"/>
    <col min="5" max="5" width="10.28515625" style="1" customWidth="1"/>
    <col min="6" max="7" width="11" style="1" customWidth="1"/>
    <col min="8" max="8" width="6.5703125" style="1" customWidth="1"/>
    <col min="9" max="9" width="11.28515625" style="1" customWidth="1"/>
    <col min="10" max="10" width="9.5703125" style="1" customWidth="1"/>
    <col min="11" max="11" width="11.85546875" style="1" customWidth="1"/>
    <col min="12" max="12" width="10.28515625" style="1" customWidth="1"/>
    <col min="13" max="13" width="8.28515625" style="1" customWidth="1"/>
    <col min="14" max="14" width="10.85546875" style="1" customWidth="1"/>
    <col min="15" max="15" width="8" style="1" customWidth="1"/>
    <col min="16" max="16" width="8.85546875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28.25" customHeight="1" x14ac:dyDescent="0.25">
      <c r="A5" s="20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5"/>
      <c r="H5" s="1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5"/>
      <c r="Q5" s="15"/>
    </row>
    <row r="6" spans="1:17" ht="30" customHeight="1" x14ac:dyDescent="0.25">
      <c r="A6" s="12">
        <v>45383</v>
      </c>
      <c r="B6" s="4">
        <v>3679</v>
      </c>
      <c r="C6" s="4">
        <v>24879.66299999999</v>
      </c>
      <c r="D6" s="4">
        <v>18676.974999999999</v>
      </c>
      <c r="E6" s="4">
        <v>704990</v>
      </c>
      <c r="F6" s="4">
        <v>4025.3440559999999</v>
      </c>
      <c r="G6" s="4">
        <v>4673.1744019999996</v>
      </c>
      <c r="H6" s="5">
        <f t="shared" ref="H6:H18" si="0">F6/G6*100</f>
        <v>86.137252961867958</v>
      </c>
      <c r="I6" s="5">
        <v>11756.259499999993</v>
      </c>
      <c r="J6" s="5">
        <v>218.16011872500005</v>
      </c>
      <c r="K6" s="5">
        <v>11974.419618724993</v>
      </c>
      <c r="L6" s="5">
        <v>402.53440560000104</v>
      </c>
      <c r="M6" s="5">
        <v>76.826422077300023</v>
      </c>
      <c r="N6" s="10">
        <v>1.8968678460259802</v>
      </c>
      <c r="O6" s="5">
        <v>481.25769552332702</v>
      </c>
      <c r="P6" s="5">
        <v>688.06454399999996</v>
      </c>
      <c r="Q6" s="5">
        <f t="shared" ref="Q6:Q18" si="1">O6/P6*100</f>
        <v>69.943684748756212</v>
      </c>
    </row>
    <row r="7" spans="1:17" ht="30" customHeight="1" x14ac:dyDescent="0.25">
      <c r="A7" s="13">
        <v>45413</v>
      </c>
      <c r="B7" s="2">
        <v>3781</v>
      </c>
      <c r="C7" s="2">
        <v>25855.518000000004</v>
      </c>
      <c r="D7" s="2">
        <v>19344.928</v>
      </c>
      <c r="E7" s="2">
        <v>736369</v>
      </c>
      <c r="F7" s="2">
        <v>4322.6132580000003</v>
      </c>
      <c r="G7" s="2">
        <v>5002.2917500000003</v>
      </c>
      <c r="H7" s="3">
        <f t="shared" si="0"/>
        <v>86.41265791824317</v>
      </c>
      <c r="I7" s="3">
        <v>12455.949399999996</v>
      </c>
      <c r="J7" s="3">
        <v>205.77047053975977</v>
      </c>
      <c r="K7" s="3">
        <v>12661.719870539755</v>
      </c>
      <c r="L7" s="3">
        <v>432.26334900000006</v>
      </c>
      <c r="M7" s="3">
        <v>80.119001577399956</v>
      </c>
      <c r="N7" s="11">
        <v>1.7627070463392289</v>
      </c>
      <c r="O7" s="3">
        <v>514.14505762373926</v>
      </c>
      <c r="P7" s="3">
        <v>741.34612399999992</v>
      </c>
      <c r="Q7" s="3">
        <f t="shared" si="1"/>
        <v>69.352902912559017</v>
      </c>
    </row>
    <row r="8" spans="1:17" ht="30" customHeight="1" x14ac:dyDescent="0.25">
      <c r="A8" s="12">
        <v>45444</v>
      </c>
      <c r="B8" s="4">
        <v>3810</v>
      </c>
      <c r="C8" s="4">
        <v>26010.279000000006</v>
      </c>
      <c r="D8" s="4">
        <v>19256.760999999999</v>
      </c>
      <c r="E8" s="4">
        <v>734493</v>
      </c>
      <c r="F8" s="4">
        <v>4326.2540250000002</v>
      </c>
      <c r="G8" s="4">
        <v>4959.144542</v>
      </c>
      <c r="H8" s="5">
        <f t="shared" si="0"/>
        <v>87.23790944910111</v>
      </c>
      <c r="I8" s="5">
        <v>13148.904200000004</v>
      </c>
      <c r="J8" s="5">
        <v>202.78233067994375</v>
      </c>
      <c r="K8" s="5">
        <v>13351.686530679948</v>
      </c>
      <c r="L8" s="5">
        <v>432.62540250000069</v>
      </c>
      <c r="M8" s="5">
        <v>83.111731370799959</v>
      </c>
      <c r="N8" s="10">
        <v>1.6212878189738145</v>
      </c>
      <c r="O8" s="5">
        <v>517.35842168977445</v>
      </c>
      <c r="P8" s="5">
        <v>685.59226628000101</v>
      </c>
      <c r="Q8" s="5">
        <f t="shared" si="1"/>
        <v>75.461531165884153</v>
      </c>
    </row>
    <row r="9" spans="1:17" ht="30" customHeight="1" x14ac:dyDescent="0.25">
      <c r="A9" s="13">
        <v>45474</v>
      </c>
      <c r="B9" s="2">
        <v>3833</v>
      </c>
      <c r="C9" s="2">
        <v>26676.280000000013</v>
      </c>
      <c r="D9" s="2">
        <v>19740.137999999999</v>
      </c>
      <c r="E9" s="2">
        <v>721257</v>
      </c>
      <c r="F9" s="2">
        <v>4336.7944260000004</v>
      </c>
      <c r="G9" s="2">
        <v>5114.5010820000007</v>
      </c>
      <c r="H9" s="3">
        <f t="shared" si="0"/>
        <v>84.794085610088828</v>
      </c>
      <c r="I9" s="3">
        <v>13002.543299999999</v>
      </c>
      <c r="J9" s="3">
        <v>142.86239788671674</v>
      </c>
      <c r="K9" s="3">
        <v>13145.405697886716</v>
      </c>
      <c r="L9" s="3">
        <v>433.67944259999956</v>
      </c>
      <c r="M9" s="3">
        <v>82.985097280200236</v>
      </c>
      <c r="N9" s="11">
        <v>1.0354245457066553</v>
      </c>
      <c r="O9" s="3">
        <v>517.69996442590639</v>
      </c>
      <c r="P9" s="3">
        <v>686.48613070000113</v>
      </c>
      <c r="Q9" s="3">
        <f t="shared" si="1"/>
        <v>75.413026028364811</v>
      </c>
    </row>
    <row r="10" spans="1:17" ht="30" customHeight="1" x14ac:dyDescent="0.25">
      <c r="A10" s="12">
        <v>45505</v>
      </c>
      <c r="B10" s="4">
        <v>3831</v>
      </c>
      <c r="C10" s="4">
        <v>26611.593000000015</v>
      </c>
      <c r="D10" s="4">
        <v>19655.875</v>
      </c>
      <c r="E10" s="4">
        <v>732711</v>
      </c>
      <c r="F10" s="4">
        <v>4373.4376960000009</v>
      </c>
      <c r="G10" s="4">
        <v>5076.40085</v>
      </c>
      <c r="H10" s="5">
        <f t="shared" si="0"/>
        <v>86.15233164654444</v>
      </c>
      <c r="I10" s="5">
        <v>13044.105199999995</v>
      </c>
      <c r="J10" s="5">
        <v>139.33359342981399</v>
      </c>
      <c r="K10" s="5">
        <v>13183.438793429808</v>
      </c>
      <c r="L10" s="5">
        <v>437.34376960000066</v>
      </c>
      <c r="M10" s="5">
        <v>82.220668457700128</v>
      </c>
      <c r="N10" s="10">
        <v>0.99554920543414827</v>
      </c>
      <c r="O10" s="5">
        <v>520.55998726313487</v>
      </c>
      <c r="P10" s="5">
        <v>696.18087170999911</v>
      </c>
      <c r="Q10" s="5">
        <f t="shared" si="1"/>
        <v>74.773669949377634</v>
      </c>
    </row>
    <row r="11" spans="1:17" ht="30" customHeight="1" x14ac:dyDescent="0.25">
      <c r="A11" s="13">
        <v>45536</v>
      </c>
      <c r="B11" s="2">
        <v>3827</v>
      </c>
      <c r="C11" s="2">
        <v>26939.734999999986</v>
      </c>
      <c r="D11" s="2">
        <v>19902.858</v>
      </c>
      <c r="E11" s="2">
        <v>728690</v>
      </c>
      <c r="F11" s="2">
        <v>4427.2835009999999</v>
      </c>
      <c r="G11" s="2">
        <v>5172.5104900000006</v>
      </c>
      <c r="H11" s="3">
        <f t="shared" si="0"/>
        <v>85.592547556148105</v>
      </c>
      <c r="I11" s="3">
        <v>12365.001099999999</v>
      </c>
      <c r="J11" s="3">
        <v>148.53373626598565</v>
      </c>
      <c r="K11" s="3">
        <v>12513.534836265984</v>
      </c>
      <c r="L11" s="3">
        <v>483.12131213000112</v>
      </c>
      <c r="M11" s="3">
        <v>79.846289979699989</v>
      </c>
      <c r="N11" s="11">
        <v>1.1460542457798226</v>
      </c>
      <c r="O11" s="3">
        <v>564.113656355481</v>
      </c>
      <c r="P11" s="3">
        <v>634.75648859999922</v>
      </c>
      <c r="Q11" s="3">
        <f t="shared" si="1"/>
        <v>88.870876704178954</v>
      </c>
    </row>
    <row r="12" spans="1:17" ht="30" customHeight="1" x14ac:dyDescent="0.25">
      <c r="A12" s="12">
        <v>45566</v>
      </c>
      <c r="B12" s="4">
        <v>3924</v>
      </c>
      <c r="C12" s="4">
        <v>27780.996999999963</v>
      </c>
      <c r="D12" s="4">
        <v>20608.964</v>
      </c>
      <c r="E12" s="4">
        <v>722620</v>
      </c>
      <c r="F12" s="4">
        <v>4353.1711150000001</v>
      </c>
      <c r="G12" s="4">
        <v>5344.2958940000008</v>
      </c>
      <c r="H12" s="5">
        <f t="shared" si="0"/>
        <v>81.454530238254051</v>
      </c>
      <c r="I12" s="5">
        <v>13866.696200000009</v>
      </c>
      <c r="J12" s="5">
        <v>197.14665998390944</v>
      </c>
      <c r="K12" s="5">
        <v>14063.842859983919</v>
      </c>
      <c r="L12" s="5">
        <v>471.70142151999994</v>
      </c>
      <c r="M12" s="5">
        <v>91.865587045200044</v>
      </c>
      <c r="N12" s="10">
        <v>1.546586155144148</v>
      </c>
      <c r="O12" s="5">
        <v>565.11359472034405</v>
      </c>
      <c r="P12" s="5">
        <v>654.4364267099985</v>
      </c>
      <c r="Q12" s="5">
        <f t="shared" si="1"/>
        <v>86.3511827361596</v>
      </c>
    </row>
    <row r="13" spans="1:17" ht="30" customHeight="1" x14ac:dyDescent="0.25">
      <c r="A13" s="13">
        <v>45597</v>
      </c>
      <c r="B13" s="2">
        <v>4532</v>
      </c>
      <c r="C13" s="2">
        <v>30700.348000000067</v>
      </c>
      <c r="D13" s="2">
        <v>22486.845000000001</v>
      </c>
      <c r="E13" s="2">
        <v>853492</v>
      </c>
      <c r="F13" s="2">
        <v>4900.7366080000002</v>
      </c>
      <c r="G13" s="2">
        <v>5747.3511989999997</v>
      </c>
      <c r="H13" s="3">
        <f t="shared" si="0"/>
        <v>85.269482206911164</v>
      </c>
      <c r="I13" s="3">
        <v>13028.023099999999</v>
      </c>
      <c r="J13" s="3">
        <v>160.67413441930205</v>
      </c>
      <c r="K13" s="3">
        <v>13188.6972344193</v>
      </c>
      <c r="L13" s="3">
        <v>530.5955373860013</v>
      </c>
      <c r="M13" s="3">
        <v>84.984221919199896</v>
      </c>
      <c r="N13" s="11">
        <v>1.2770218802655144</v>
      </c>
      <c r="O13" s="3">
        <v>616.85678118546684</v>
      </c>
      <c r="P13" s="3">
        <v>695.83626556199908</v>
      </c>
      <c r="Q13" s="3">
        <f t="shared" si="1"/>
        <v>88.649702769840019</v>
      </c>
    </row>
    <row r="14" spans="1:17" ht="30" customHeight="1" x14ac:dyDescent="0.25">
      <c r="A14" s="12">
        <v>45627</v>
      </c>
      <c r="B14" s="4">
        <v>5289</v>
      </c>
      <c r="C14" s="4">
        <v>35172.155999999937</v>
      </c>
      <c r="D14" s="4">
        <v>25598.541000000001</v>
      </c>
      <c r="E14" s="4">
        <v>986779</v>
      </c>
      <c r="F14" s="4">
        <v>5469.2882300000001</v>
      </c>
      <c r="G14" s="4">
        <v>6487.5438490000006</v>
      </c>
      <c r="H14" s="5">
        <f t="shared" si="0"/>
        <v>84.304451072697475</v>
      </c>
      <c r="I14" s="5">
        <v>15147.314700000012</v>
      </c>
      <c r="J14" s="5">
        <v>221.00565243357576</v>
      </c>
      <c r="K14" s="5">
        <v>15368.320352433588</v>
      </c>
      <c r="L14" s="5">
        <v>583.18305161000058</v>
      </c>
      <c r="M14" s="5">
        <v>98.081913027799928</v>
      </c>
      <c r="N14" s="10">
        <v>1.6760180647082503</v>
      </c>
      <c r="O14" s="5">
        <v>682.94098270250868</v>
      </c>
      <c r="P14" s="5">
        <v>772.47365574999924</v>
      </c>
      <c r="Q14" s="5">
        <f t="shared" si="1"/>
        <v>88.409614699343663</v>
      </c>
    </row>
    <row r="15" spans="1:17" ht="30" customHeight="1" x14ac:dyDescent="0.25">
      <c r="A15" s="13">
        <v>45658</v>
      </c>
      <c r="B15" s="2">
        <v>5254</v>
      </c>
      <c r="C15" s="2">
        <v>35360.64199999992</v>
      </c>
      <c r="D15" s="2">
        <v>25721.017</v>
      </c>
      <c r="E15" s="2">
        <v>1024098</v>
      </c>
      <c r="F15" s="2">
        <v>5817.1994549999999</v>
      </c>
      <c r="G15" s="2">
        <v>6607.837802</v>
      </c>
      <c r="H15" s="3">
        <f t="shared" si="0"/>
        <v>88.034840280723941</v>
      </c>
      <c r="I15" s="3">
        <v>14279.175300000003</v>
      </c>
      <c r="J15" s="3">
        <v>204.04242124360093</v>
      </c>
      <c r="K15" s="3">
        <v>14483.217721243604</v>
      </c>
      <c r="L15" s="3">
        <v>628.17502772999865</v>
      </c>
      <c r="M15" s="3">
        <v>91.188887498800028</v>
      </c>
      <c r="N15" s="11">
        <v>1.5690163330608078</v>
      </c>
      <c r="O15" s="3">
        <v>720.9329315618595</v>
      </c>
      <c r="P15" s="3">
        <v>794.92989274999991</v>
      </c>
      <c r="Q15" s="3">
        <f t="shared" si="1"/>
        <v>90.691385257616432</v>
      </c>
    </row>
    <row r="16" spans="1:17" ht="30" customHeight="1" x14ac:dyDescent="0.25">
      <c r="A16" s="12">
        <v>45689</v>
      </c>
      <c r="B16" s="4">
        <v>4852</v>
      </c>
      <c r="C16" s="4">
        <v>32746.219000000001</v>
      </c>
      <c r="D16" s="4">
        <v>23960.627</v>
      </c>
      <c r="E16" s="4">
        <v>955197</v>
      </c>
      <c r="F16" s="4">
        <v>5449.9901629999995</v>
      </c>
      <c r="G16" s="4">
        <v>6166.912421</v>
      </c>
      <c r="H16" s="5">
        <f t="shared" si="0"/>
        <v>88.374696946259732</v>
      </c>
      <c r="I16" s="5">
        <v>14776.413200000001</v>
      </c>
      <c r="J16" s="5">
        <v>156.28835317854302</v>
      </c>
      <c r="K16" s="5">
        <v>14932.701553178544</v>
      </c>
      <c r="L16" s="5">
        <v>576.3493115</v>
      </c>
      <c r="M16" s="5">
        <v>93.644935589999989</v>
      </c>
      <c r="N16" s="10">
        <v>1.240899405</v>
      </c>
      <c r="O16" s="5">
        <v>671.23514649499998</v>
      </c>
      <c r="P16" s="5">
        <v>736.39920289999998</v>
      </c>
      <c r="Q16" s="5">
        <f t="shared" si="1"/>
        <v>91.150987650668455</v>
      </c>
    </row>
    <row r="17" spans="1:17" ht="30" customHeight="1" x14ac:dyDescent="0.25">
      <c r="A17" s="13">
        <v>45717</v>
      </c>
      <c r="B17" s="2">
        <v>5222</v>
      </c>
      <c r="C17" s="2">
        <v>34832.157000000043</v>
      </c>
      <c r="D17" s="2">
        <v>25533.505000000001</v>
      </c>
      <c r="E17" s="2">
        <v>965068</v>
      </c>
      <c r="F17" s="2">
        <v>5395.3123269999996</v>
      </c>
      <c r="G17" s="2">
        <v>6543.9269170000007</v>
      </c>
      <c r="H17" s="3">
        <f t="shared" si="0"/>
        <v>82.447625033584998</v>
      </c>
      <c r="I17" s="3">
        <v>17447.829200000007</v>
      </c>
      <c r="J17" s="3">
        <v>210.63019179923293</v>
      </c>
      <c r="K17" s="3">
        <v>17658.459391799239</v>
      </c>
      <c r="L17" s="3">
        <v>562.00081202999945</v>
      </c>
      <c r="M17" s="3">
        <v>110.56424950339984</v>
      </c>
      <c r="N17" s="11">
        <v>1.6860190201195691</v>
      </c>
      <c r="O17" s="3">
        <v>674.25108055351882</v>
      </c>
      <c r="P17" s="3">
        <v>771.91932516000179</v>
      </c>
      <c r="Q17" s="3">
        <f t="shared" si="1"/>
        <v>87.347350762822458</v>
      </c>
    </row>
    <row r="18" spans="1:17" ht="30" customHeight="1" x14ac:dyDescent="0.25">
      <c r="A18" s="6" t="s">
        <v>22</v>
      </c>
      <c r="B18" s="7">
        <f>SUM(B6:B17)</f>
        <v>51834</v>
      </c>
      <c r="C18" s="7">
        <f t="shared" ref="C18:G18" si="2">SUM(C6:C17)</f>
        <v>353565.58699999994</v>
      </c>
      <c r="D18" s="7">
        <f t="shared" si="2"/>
        <v>260487.03400000001</v>
      </c>
      <c r="E18" s="7">
        <f t="shared" si="2"/>
        <v>9865764</v>
      </c>
      <c r="F18" s="8">
        <f t="shared" si="2"/>
        <v>57197.424860000006</v>
      </c>
      <c r="G18" s="8">
        <f t="shared" si="2"/>
        <v>66895.891198000012</v>
      </c>
      <c r="H18" s="8">
        <f t="shared" si="0"/>
        <v>85.502149438006199</v>
      </c>
      <c r="I18" s="8">
        <f>SUM(I6:I17)</f>
        <v>164318.21440000003</v>
      </c>
      <c r="J18" s="8">
        <f t="shared" ref="J18:P18" si="3">SUM(J6:J17)</f>
        <v>2207.2300605853839</v>
      </c>
      <c r="K18" s="8">
        <f t="shared" si="3"/>
        <v>166525.44446058539</v>
      </c>
      <c r="L18" s="8">
        <f t="shared" si="3"/>
        <v>5973.5728432060041</v>
      </c>
      <c r="M18" s="8">
        <f t="shared" si="3"/>
        <v>1055.4390053274999</v>
      </c>
      <c r="N18" s="8">
        <f t="shared" si="3"/>
        <v>17.453451566557941</v>
      </c>
      <c r="O18" s="8">
        <f t="shared" si="3"/>
        <v>7046.4653001000597</v>
      </c>
      <c r="P18" s="8">
        <f t="shared" si="3"/>
        <v>8558.4211941219983</v>
      </c>
      <c r="Q18" s="8">
        <f t="shared" si="1"/>
        <v>82.333705484600785</v>
      </c>
    </row>
    <row r="19" spans="1:17" ht="15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</vt:lpstr>
      <vt:lpstr>'AIR INDIA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2025-10-10T06:45:43Z</cp:lastPrinted>
  <dcterms:created xsi:type="dcterms:W3CDTF">2018-10-29T04:00:09Z</dcterms:created>
  <dcterms:modified xsi:type="dcterms:W3CDTF">2025-11-19T08:37:51Z</dcterms:modified>
</cp:coreProperties>
</file>