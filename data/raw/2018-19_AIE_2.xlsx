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AIR INDIA EXPRESS\"/>
    </mc:Choice>
  </mc:AlternateContent>
  <bookViews>
    <workbookView xWindow="0" yWindow="0" windowWidth="19200" windowHeight="7224"/>
  </bookViews>
  <sheets>
    <sheet name="AIR INDIA EXPRESS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M18" i="1"/>
  <c r="L18" i="1"/>
  <c r="J18" i="1"/>
  <c r="I18" i="1"/>
  <c r="G18" i="1"/>
  <c r="H18" i="1" s="1"/>
  <c r="F18" i="1"/>
  <c r="E18" i="1"/>
  <c r="D18" i="1"/>
  <c r="C18" i="1"/>
  <c r="B18" i="1"/>
  <c r="Q17" i="1"/>
  <c r="K17" i="1"/>
  <c r="K18" i="1" s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N9" i="1"/>
  <c r="H9" i="1"/>
  <c r="Q8" i="1"/>
  <c r="H8" i="1"/>
  <c r="Q7" i="1"/>
  <c r="H7" i="1"/>
  <c r="Q6" i="1"/>
  <c r="N6" i="1"/>
  <c r="N18" i="1" s="1"/>
  <c r="H6" i="1"/>
</calcChain>
</file>

<file path=xl/sharedStrings.xml><?xml version="1.0" encoding="utf-8"?>
<sst xmlns="http://schemas.openxmlformats.org/spreadsheetml/2006/main" count="26" uniqueCount="24">
  <si>
    <t xml:space="preserve">तालिका - 1.02 (एयर इंडिया एक्सप्रेस) </t>
  </si>
  <si>
    <t>Table 1.02 (AIR INDIA EXPRESS)</t>
  </si>
  <si>
    <t>MONTHLY TRAFFIC AND OPERATING STATISTICS OF AIR INDIA EXPRESS ON SCHEDULED INTERNATIONAL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</si>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</sst>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0" fillId="4" borderId="1" xfId="4" applyFont="1" applyBorder="1" applyAlignment="1">
      <alignment horizontal="center" vertical="center" wrapText="1"/>
    </xf>
    <xf numFmtId="0" fontId="1" fillId="4" borderId="1" xfId="4" applyBorder="1" applyAlignment="1">
      <alignment horizontal="center" vertical="center" wrapText="1"/>
    </xf>
    <xf numFmtId="0" fontId="0" fillId="4" borderId="1" xfId="4" quotePrefix="1" applyFont="1" applyBorder="1" applyAlignment="1" applyProtection="1">
      <alignment horizontal="center" vertical="center" wrapText="1"/>
    </xf>
    <xf numFmtId="0" fontId="1" fillId="4" borderId="1" xfId="4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4" borderId="1" xfId="4" applyNumberFormat="1" applyBorder="1" applyAlignment="1" applyProtection="1">
      <alignment horizontal="center" vertical="center" wrapText="1"/>
    </xf>
    <xf numFmtId="164" fontId="1" fillId="4" borderId="1" xfId="4" applyNumberFormat="1" applyBorder="1" applyAlignment="1">
      <alignment horizontal="right" vertical="center"/>
    </xf>
    <xf numFmtId="165" fontId="1" fillId="3" borderId="1" xfId="3" applyNumberFormat="1" applyBorder="1" applyAlignment="1" applyProtection="1">
      <alignment horizontal="center" vertical="center" wrapText="1"/>
    </xf>
    <xf numFmtId="166" fontId="1" fillId="4" borderId="1" xfId="4" applyNumberFormat="1" applyBorder="1" applyAlignment="1">
      <alignment horizontal="right" vertical="center"/>
    </xf>
    <xf numFmtId="43" fontId="0" fillId="4" borderId="1" xfId="4" applyNumberFormat="1" applyFont="1" applyBorder="1" applyAlignment="1">
      <alignment horizontal="right" vertical="center"/>
    </xf>
    <xf numFmtId="17" fontId="4" fillId="5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43" fontId="5" fillId="0" borderId="1" xfId="1" applyNumberFormat="1" applyFont="1" applyFill="1" applyBorder="1" applyAlignment="1">
      <alignment horizontal="right" vertical="center"/>
    </xf>
    <xf numFmtId="43" fontId="1" fillId="4" borderId="1" xfId="4" applyNumberFormat="1" applyBorder="1" applyAlignment="1">
      <alignment horizontal="right" vertical="center"/>
    </xf>
    <xf numFmtId="0" fontId="2" fillId="4" borderId="1" xfId="4" applyFont="1" applyBorder="1" applyAlignment="1" applyProtection="1">
      <alignment horizontal="center" vertical="center" wrapText="1"/>
    </xf>
    <xf numFmtId="164" fontId="2" fillId="4" borderId="1" xfId="4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166" fontId="2" fillId="4" borderId="1" xfId="4" applyNumberFormat="1" applyFont="1" applyBorder="1" applyAlignment="1" applyProtection="1">
      <alignment horizontal="right" vertical="center" wrapText="1"/>
    </xf>
    <xf numFmtId="43" fontId="2" fillId="4" borderId="1" xfId="4" applyNumberFormat="1" applyFont="1" applyBorder="1" applyAlignment="1" applyProtection="1">
      <alignment horizontal="right" vertical="center" wrapText="1"/>
    </xf>
    <xf numFmtId="0" fontId="6" fillId="5" borderId="1" xfId="0" applyFont="1" applyFill="1" applyBorder="1" applyAlignment="1" applyProtection="1">
      <alignment horizontal="left" vertical="center" wrapText="1"/>
    </xf>
  </cellXfs>
  <cellStyles count="5">
    <cellStyle name="20% - Accent6" xfId="3" builtinId="50"/>
    <cellStyle name="40% - Accent6" xfId="4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S8" sqref="S8"/>
    </sheetView>
  </sheetViews>
  <sheetFormatPr defaultRowHeight="14.4" x14ac:dyDescent="0.3"/>
  <cols>
    <col min="1" max="1" width="7.6640625" customWidth="1"/>
    <col min="2" max="2" width="7.33203125" customWidth="1"/>
    <col min="3" max="3" width="8.44140625" customWidth="1"/>
    <col min="4" max="4" width="7.33203125" customWidth="1"/>
    <col min="5" max="5" width="10" customWidth="1"/>
    <col min="6" max="6" width="7.44140625" bestFit="1" customWidth="1"/>
    <col min="7" max="7" width="7.44140625" customWidth="1"/>
    <col min="8" max="8" width="6.44140625" customWidth="1"/>
    <col min="9" max="9" width="9" bestFit="1" customWidth="1"/>
    <col min="10" max="10" width="5.44140625" bestFit="1" customWidth="1"/>
    <col min="11" max="11" width="9.6640625" customWidth="1"/>
    <col min="12" max="12" width="6.44140625" customWidth="1"/>
    <col min="13" max="13" width="5.5546875" customWidth="1"/>
    <col min="14" max="14" width="6.88671875" customWidth="1"/>
    <col min="15" max="15" width="8" bestFit="1" customWidth="1"/>
    <col min="16" max="16" width="7.88671875" customWidth="1"/>
    <col min="17" max="17" width="7" customWidth="1"/>
  </cols>
  <sheetData>
    <row r="1" spans="1:17" ht="1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33" customHeight="1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115.5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x14ac:dyDescent="0.3">
      <c r="A6" s="10">
        <v>43191</v>
      </c>
      <c r="B6" s="11">
        <v>2240</v>
      </c>
      <c r="C6" s="11">
        <v>8859.7900000000009</v>
      </c>
      <c r="D6" s="11">
        <v>5957.04</v>
      </c>
      <c r="E6" s="11">
        <v>355853</v>
      </c>
      <c r="F6" s="11">
        <v>936.75143600000001</v>
      </c>
      <c r="G6" s="11">
        <v>1108.0092540000001</v>
      </c>
      <c r="H6" s="12">
        <f t="shared" ref="H6:H18" si="0">F6/G6*100</f>
        <v>84.543647322281302</v>
      </c>
      <c r="I6" s="13">
        <v>866.17399999999998</v>
      </c>
      <c r="J6" s="13">
        <v>0.42399999999999999</v>
      </c>
      <c r="K6" s="13">
        <v>866.59799999999996</v>
      </c>
      <c r="L6" s="13">
        <v>53.492264024000001</v>
      </c>
      <c r="M6" s="13">
        <v>2.4247225729999999</v>
      </c>
      <c r="N6" s="14">
        <f>1.028658/1000</f>
        <v>1.028658E-3</v>
      </c>
      <c r="O6" s="13">
        <v>55.918015255</v>
      </c>
      <c r="P6" s="13">
        <v>70.251416552999999</v>
      </c>
      <c r="Q6" s="12">
        <f t="shared" ref="Q6:Q18" si="1">O6/P6*100</f>
        <v>79.596993197729461</v>
      </c>
    </row>
    <row r="7" spans="1:17" x14ac:dyDescent="0.3">
      <c r="A7" s="15">
        <v>43221</v>
      </c>
      <c r="B7" s="16">
        <v>2325</v>
      </c>
      <c r="C7" s="16">
        <v>9217.0400000000009</v>
      </c>
      <c r="D7" s="16">
        <v>6198.1</v>
      </c>
      <c r="E7" s="16">
        <v>341248</v>
      </c>
      <c r="F7" s="16">
        <v>915.09050000000002</v>
      </c>
      <c r="G7" s="16">
        <v>1152.8438000000001</v>
      </c>
      <c r="H7" s="12">
        <f t="shared" si="0"/>
        <v>79.376798487357959</v>
      </c>
      <c r="I7" s="17">
        <v>1265.3</v>
      </c>
      <c r="J7" s="17">
        <v>0.81</v>
      </c>
      <c r="K7" s="17">
        <v>1266.1099999999999</v>
      </c>
      <c r="L7" s="17">
        <v>78.483685785999995</v>
      </c>
      <c r="M7" s="17">
        <v>3.5185999999999997</v>
      </c>
      <c r="N7" s="18">
        <v>1.9583790000000001E-4</v>
      </c>
      <c r="O7" s="17">
        <v>82.004289450000002</v>
      </c>
      <c r="P7" s="17">
        <v>102.21610000000001</v>
      </c>
      <c r="Q7" s="12">
        <f t="shared" si="1"/>
        <v>80.226392368716859</v>
      </c>
    </row>
    <row r="8" spans="1:17" x14ac:dyDescent="0.3">
      <c r="A8" s="10">
        <v>43252</v>
      </c>
      <c r="B8" s="11">
        <v>2252</v>
      </c>
      <c r="C8" s="11">
        <v>8934.68</v>
      </c>
      <c r="D8" s="11">
        <v>5999.4</v>
      </c>
      <c r="E8" s="11">
        <v>309826</v>
      </c>
      <c r="F8" s="11">
        <v>828.46619999999996</v>
      </c>
      <c r="G8" s="11">
        <v>1115.8887999999999</v>
      </c>
      <c r="H8" s="12">
        <f t="shared" si="0"/>
        <v>74.242720242375398</v>
      </c>
      <c r="I8" s="13">
        <v>1042.9000000000001</v>
      </c>
      <c r="J8" s="13">
        <v>0.81</v>
      </c>
      <c r="K8" s="13">
        <v>1043.71</v>
      </c>
      <c r="L8" s="13">
        <v>74.087341628000004</v>
      </c>
      <c r="M8" s="13">
        <v>2.7432500000000002</v>
      </c>
      <c r="N8" s="19">
        <v>2.0200000000000001E-3</v>
      </c>
      <c r="O8" s="13">
        <v>76.832603762000005</v>
      </c>
      <c r="P8" s="13">
        <v>103.48664439400001</v>
      </c>
      <c r="Q8" s="12">
        <f t="shared" si="1"/>
        <v>74.243980188862551</v>
      </c>
    </row>
    <row r="9" spans="1:17" x14ac:dyDescent="0.3">
      <c r="A9" s="15">
        <v>43282</v>
      </c>
      <c r="B9" s="16">
        <v>2319</v>
      </c>
      <c r="C9" s="16">
        <v>9151.23</v>
      </c>
      <c r="D9" s="16">
        <v>6167.58</v>
      </c>
      <c r="E9" s="16">
        <v>340424</v>
      </c>
      <c r="F9" s="16">
        <v>903.67512799999997</v>
      </c>
      <c r="G9" s="16">
        <v>1147.1690000000001</v>
      </c>
      <c r="H9" s="12">
        <f t="shared" si="0"/>
        <v>78.77436785687199</v>
      </c>
      <c r="I9" s="17">
        <v>1143.7059999999999</v>
      </c>
      <c r="J9" s="17">
        <v>0.61799999999999999</v>
      </c>
      <c r="K9" s="17">
        <v>1144.3240000000001</v>
      </c>
      <c r="L9" s="17">
        <v>78.929333502999995</v>
      </c>
      <c r="M9" s="17">
        <v>3.0179084399999998</v>
      </c>
      <c r="N9" s="18">
        <f>1.495863/1000</f>
        <v>1.4958629999999998E-3</v>
      </c>
      <c r="O9" s="17">
        <v>81.948737805999997</v>
      </c>
      <c r="P9" s="17">
        <v>104.592542393</v>
      </c>
      <c r="Q9" s="12">
        <f t="shared" si="1"/>
        <v>78.350459727886417</v>
      </c>
    </row>
    <row r="10" spans="1:17" x14ac:dyDescent="0.3">
      <c r="A10" s="10">
        <v>43313</v>
      </c>
      <c r="B10" s="11">
        <v>2308</v>
      </c>
      <c r="C10" s="11">
        <v>9122.9500000000007</v>
      </c>
      <c r="D10" s="11">
        <v>6157.23</v>
      </c>
      <c r="E10" s="11">
        <v>345809</v>
      </c>
      <c r="F10" s="11">
        <v>924.91600000000005</v>
      </c>
      <c r="G10" s="11">
        <v>1145.2455199999999</v>
      </c>
      <c r="H10" s="12">
        <f t="shared" si="0"/>
        <v>80.761372460989861</v>
      </c>
      <c r="I10" s="13">
        <v>1282.78</v>
      </c>
      <c r="J10" s="13">
        <v>0.74199999999999999</v>
      </c>
      <c r="K10" s="13">
        <v>1283.5219999999999</v>
      </c>
      <c r="L10" s="13">
        <v>83.016352587</v>
      </c>
      <c r="M10" s="13">
        <v>3.4944699999999997</v>
      </c>
      <c r="N10" s="19">
        <v>1.8600000000000001E-3</v>
      </c>
      <c r="O10" s="13">
        <v>86.512673743999997</v>
      </c>
      <c r="P10" s="13">
        <v>107.099400927</v>
      </c>
      <c r="Q10" s="12">
        <f t="shared" si="1"/>
        <v>80.777924988551405</v>
      </c>
    </row>
    <row r="11" spans="1:17" x14ac:dyDescent="0.3">
      <c r="A11" s="15">
        <v>43344</v>
      </c>
      <c r="B11" s="16">
        <v>2231</v>
      </c>
      <c r="C11" s="16">
        <v>8777.02</v>
      </c>
      <c r="D11" s="16">
        <v>5916.7849999999999</v>
      </c>
      <c r="E11" s="16">
        <v>295714</v>
      </c>
      <c r="F11" s="16">
        <v>788.808447</v>
      </c>
      <c r="G11" s="16">
        <v>1100.5220099999999</v>
      </c>
      <c r="H11" s="12">
        <f t="shared" si="0"/>
        <v>71.675844720270518</v>
      </c>
      <c r="I11" s="17">
        <v>1336.52</v>
      </c>
      <c r="J11" s="17">
        <v>1.0640000000000001</v>
      </c>
      <c r="K11" s="17">
        <v>1337.5840000000001</v>
      </c>
      <c r="L11" s="17">
        <v>70.212803308999995</v>
      </c>
      <c r="M11" s="17">
        <v>3.6551469999999999</v>
      </c>
      <c r="N11" s="18">
        <v>9.9999999999999995E-7</v>
      </c>
      <c r="O11" s="17">
        <v>73.870529521999998</v>
      </c>
      <c r="P11" s="17">
        <v>100.473689857</v>
      </c>
      <c r="Q11" s="12">
        <f t="shared" si="1"/>
        <v>73.522262024154614</v>
      </c>
    </row>
    <row r="12" spans="1:17" x14ac:dyDescent="0.3">
      <c r="A12" s="10">
        <v>43374</v>
      </c>
      <c r="B12" s="11">
        <v>2278</v>
      </c>
      <c r="C12" s="11">
        <v>9057.11</v>
      </c>
      <c r="D12" s="11">
        <v>6073.02</v>
      </c>
      <c r="E12" s="11">
        <v>310180</v>
      </c>
      <c r="F12" s="11">
        <v>822.91895999999997</v>
      </c>
      <c r="G12" s="11">
        <v>1129.5824599999999</v>
      </c>
      <c r="H12" s="12">
        <f t="shared" si="0"/>
        <v>72.851605716328152</v>
      </c>
      <c r="I12" s="13">
        <v>1606.89</v>
      </c>
      <c r="J12" s="13">
        <v>0.6</v>
      </c>
      <c r="K12" s="13">
        <v>1607.49</v>
      </c>
      <c r="L12" s="13">
        <v>80.231049999999996</v>
      </c>
      <c r="M12" s="13">
        <v>4.4390900000000002</v>
      </c>
      <c r="N12" s="19">
        <v>5.9999999999999997E-7</v>
      </c>
      <c r="O12" s="13">
        <v>84.670140599999996</v>
      </c>
      <c r="P12" s="13">
        <v>107.91453999999999</v>
      </c>
      <c r="Q12" s="12">
        <f t="shared" si="1"/>
        <v>78.460363728557809</v>
      </c>
    </row>
    <row r="13" spans="1:17" x14ac:dyDescent="0.3">
      <c r="A13" s="15">
        <v>43405</v>
      </c>
      <c r="B13" s="16">
        <v>2260</v>
      </c>
      <c r="C13" s="16">
        <v>8988.3799999999992</v>
      </c>
      <c r="D13" s="16">
        <v>6012.17</v>
      </c>
      <c r="E13" s="16">
        <v>320229</v>
      </c>
      <c r="F13" s="16">
        <v>850.13010999999995</v>
      </c>
      <c r="G13" s="16">
        <v>1118.2636200000002</v>
      </c>
      <c r="H13" s="12">
        <f t="shared" si="0"/>
        <v>76.02233451893926</v>
      </c>
      <c r="I13" s="17">
        <v>1476.8910000000001</v>
      </c>
      <c r="J13" s="17">
        <v>0.51800000000000002</v>
      </c>
      <c r="K13" s="17">
        <v>1477.4090000000001</v>
      </c>
      <c r="L13" s="17">
        <v>76.981279999999998</v>
      </c>
      <c r="M13" s="17">
        <v>4.0655100000000006</v>
      </c>
      <c r="N13" s="18">
        <v>5.0000000000000004E-8</v>
      </c>
      <c r="O13" s="17">
        <v>81.046790049999998</v>
      </c>
      <c r="P13" s="17">
        <v>105.14975</v>
      </c>
      <c r="Q13" s="12">
        <f t="shared" si="1"/>
        <v>77.077491910346907</v>
      </c>
    </row>
    <row r="14" spans="1:17" x14ac:dyDescent="0.3">
      <c r="A14" s="10">
        <v>43435</v>
      </c>
      <c r="B14" s="11">
        <v>2418</v>
      </c>
      <c r="C14" s="11">
        <v>9627.08</v>
      </c>
      <c r="D14" s="11">
        <v>6465.54</v>
      </c>
      <c r="E14" s="11">
        <v>395035</v>
      </c>
      <c r="F14" s="11">
        <v>1048.9179999999999</v>
      </c>
      <c r="G14" s="11">
        <v>1202.5899999999999</v>
      </c>
      <c r="H14" s="12">
        <f t="shared" si="0"/>
        <v>87.221580089639858</v>
      </c>
      <c r="I14" s="13">
        <v>1497.99</v>
      </c>
      <c r="J14" s="13">
        <v>0.64100000000000001</v>
      </c>
      <c r="K14" s="13">
        <v>1498.6310000000001</v>
      </c>
      <c r="L14" s="13">
        <v>95.383789999999991</v>
      </c>
      <c r="M14" s="13">
        <v>4.0981300000000003</v>
      </c>
      <c r="N14" s="19">
        <v>1.5200000000000001E-3</v>
      </c>
      <c r="O14" s="13">
        <v>99.483440000000002</v>
      </c>
      <c r="P14" s="13">
        <v>115.74915</v>
      </c>
      <c r="Q14" s="12">
        <f t="shared" si="1"/>
        <v>85.94744756224992</v>
      </c>
    </row>
    <row r="15" spans="1:17" x14ac:dyDescent="0.3">
      <c r="A15" s="15">
        <v>43466</v>
      </c>
      <c r="B15" s="16">
        <v>2451</v>
      </c>
      <c r="C15" s="16">
        <v>9804.6</v>
      </c>
      <c r="D15" s="16">
        <v>6546</v>
      </c>
      <c r="E15" s="16">
        <v>400642</v>
      </c>
      <c r="F15" s="16">
        <v>1064.5630000000001</v>
      </c>
      <c r="G15" s="16">
        <v>1217.556</v>
      </c>
      <c r="H15" s="12">
        <f t="shared" si="0"/>
        <v>87.43441780090609</v>
      </c>
      <c r="I15" s="17">
        <v>1382.69</v>
      </c>
      <c r="J15" s="17">
        <v>2.2200000000000002</v>
      </c>
      <c r="K15" s="17">
        <v>1384.91</v>
      </c>
      <c r="L15" s="17">
        <v>96.416539999999998</v>
      </c>
      <c r="M15" s="17">
        <v>3.8010600000000001</v>
      </c>
      <c r="N15" s="18">
        <v>5.2300000000000003E-3</v>
      </c>
      <c r="O15" s="17">
        <v>100.22282999999999</v>
      </c>
      <c r="P15" s="17">
        <v>116.85775</v>
      </c>
      <c r="Q15" s="12">
        <f t="shared" si="1"/>
        <v>85.764812346635111</v>
      </c>
    </row>
    <row r="16" spans="1:17" x14ac:dyDescent="0.3">
      <c r="A16" s="10">
        <v>43497</v>
      </c>
      <c r="B16" s="11">
        <v>2214</v>
      </c>
      <c r="C16" s="11">
        <v>8876.92</v>
      </c>
      <c r="D16" s="11">
        <v>5913.2</v>
      </c>
      <c r="E16" s="11">
        <v>346145</v>
      </c>
      <c r="F16" s="11">
        <v>917.90899999999999</v>
      </c>
      <c r="G16" s="11">
        <v>1099.854</v>
      </c>
      <c r="H16" s="12">
        <f t="shared" si="0"/>
        <v>83.45734979369989</v>
      </c>
      <c r="I16" s="13">
        <v>1334.29</v>
      </c>
      <c r="J16" s="13">
        <v>2.87</v>
      </c>
      <c r="K16" s="13">
        <v>1337.1599999999999</v>
      </c>
      <c r="L16" s="13">
        <v>85.652450000000002</v>
      </c>
      <c r="M16" s="13">
        <v>3.7022399999999998</v>
      </c>
      <c r="N16" s="19">
        <v>6.3099999999999996E-3</v>
      </c>
      <c r="O16" s="13">
        <v>89.361000000000004</v>
      </c>
      <c r="P16" s="13">
        <v>108.37325999999999</v>
      </c>
      <c r="Q16" s="12">
        <f t="shared" si="1"/>
        <v>82.456687193870522</v>
      </c>
    </row>
    <row r="17" spans="1:17" x14ac:dyDescent="0.3">
      <c r="A17" s="15">
        <v>43525</v>
      </c>
      <c r="B17" s="16">
        <v>2463</v>
      </c>
      <c r="C17" s="16">
        <v>10096.23</v>
      </c>
      <c r="D17" s="16">
        <v>6544.51</v>
      </c>
      <c r="E17" s="16">
        <v>387322</v>
      </c>
      <c r="F17" s="16">
        <v>1024.1120000000001</v>
      </c>
      <c r="G17" s="16">
        <v>1217.279</v>
      </c>
      <c r="H17" s="12">
        <f t="shared" si="0"/>
        <v>84.131246821805021</v>
      </c>
      <c r="I17" s="17">
        <v>1957.749</v>
      </c>
      <c r="J17" s="17">
        <v>0.52</v>
      </c>
      <c r="K17" s="17">
        <f t="shared" ref="K17" si="2">I17+J17</f>
        <v>1958.269</v>
      </c>
      <c r="L17" s="17">
        <v>92.943619999999996</v>
      </c>
      <c r="M17" s="17">
        <v>5.3426999999999998</v>
      </c>
      <c r="N17" s="18">
        <v>1.15E-3</v>
      </c>
      <c r="O17" s="17">
        <v>98.287469999999985</v>
      </c>
      <c r="P17" s="17">
        <v>117.86331</v>
      </c>
      <c r="Q17" s="12">
        <f t="shared" si="1"/>
        <v>83.391065463883535</v>
      </c>
    </row>
    <row r="18" spans="1:17" x14ac:dyDescent="0.3">
      <c r="A18" s="20" t="s">
        <v>22</v>
      </c>
      <c r="B18" s="21">
        <f>SUM(B6:B17)</f>
        <v>27759</v>
      </c>
      <c r="C18" s="21">
        <f t="shared" ref="C18:P18" si="3">SUM(C6:C17)</f>
        <v>110513.03000000001</v>
      </c>
      <c r="D18" s="21">
        <f t="shared" si="3"/>
        <v>73950.574999999997</v>
      </c>
      <c r="E18" s="21">
        <f t="shared" si="3"/>
        <v>4148427</v>
      </c>
      <c r="F18" s="21">
        <f t="shared" si="3"/>
        <v>11026.258781</v>
      </c>
      <c r="G18" s="21">
        <f t="shared" si="3"/>
        <v>13754.803464000001</v>
      </c>
      <c r="H18" s="22">
        <f t="shared" si="0"/>
        <v>80.162968593907351</v>
      </c>
      <c r="I18" s="23">
        <f t="shared" si="3"/>
        <v>16193.879999999997</v>
      </c>
      <c r="J18" s="23">
        <f t="shared" si="3"/>
        <v>11.837</v>
      </c>
      <c r="K18" s="23">
        <f t="shared" si="3"/>
        <v>16205.716999999999</v>
      </c>
      <c r="L18" s="23">
        <f t="shared" si="3"/>
        <v>965.83051083700002</v>
      </c>
      <c r="M18" s="23">
        <f t="shared" si="3"/>
        <v>44.302828013000003</v>
      </c>
      <c r="N18" s="24">
        <f t="shared" si="3"/>
        <v>2.0812008899999998E-2</v>
      </c>
      <c r="O18" s="23">
        <f t="shared" si="3"/>
        <v>1010.1585201889999</v>
      </c>
      <c r="P18" s="23">
        <f t="shared" si="3"/>
        <v>1260.0275541240001</v>
      </c>
      <c r="Q18" s="22">
        <f t="shared" si="1"/>
        <v>80.169557949967611</v>
      </c>
    </row>
    <row r="19" spans="1:17" ht="15" customHeight="1" x14ac:dyDescent="0.3">
      <c r="A19" s="25" t="s">
        <v>23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2020-06-09T07:57:30Z</dcterms:created>
  <dcterms:modified xsi:type="dcterms:W3CDTF">2020-06-09T07:58:08Z</dcterms:modified>
</cp:coreProperties>
</file>