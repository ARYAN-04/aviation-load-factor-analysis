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24000" windowHeight="9435"/>
  </bookViews>
  <sheets>
    <sheet name="VISTARA" sheetId="1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6" l="1"/>
  <c r="Q8" i="16"/>
  <c r="Q9" i="16"/>
  <c r="Q10" i="16"/>
  <c r="Q11" i="16"/>
  <c r="Q12" i="16"/>
  <c r="Q13" i="16"/>
  <c r="Q14" i="16"/>
  <c r="Q15" i="16"/>
  <c r="Q16" i="16"/>
  <c r="Q17" i="16"/>
  <c r="Q6" i="16"/>
  <c r="H7" i="16"/>
  <c r="H8" i="16"/>
  <c r="H9" i="16"/>
  <c r="H10" i="16"/>
  <c r="H11" i="16"/>
  <c r="H12" i="16"/>
  <c r="H13" i="16"/>
  <c r="H14" i="16"/>
  <c r="H15" i="16"/>
  <c r="H16" i="16"/>
  <c r="H17" i="16"/>
  <c r="H6" i="16"/>
  <c r="I18" i="16" l="1"/>
  <c r="C18" i="16"/>
  <c r="B18" i="16"/>
  <c r="P18" i="16"/>
  <c r="O18" i="16"/>
  <c r="Q18" i="16" s="1"/>
  <c r="N18" i="16"/>
  <c r="M18" i="16"/>
  <c r="L18" i="16"/>
  <c r="K18" i="16"/>
  <c r="J18" i="16"/>
  <c r="G18" i="16"/>
  <c r="F18" i="16"/>
  <c r="H18" i="16" s="1"/>
  <c r="E18" i="16"/>
  <c r="D18" i="1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<sst xmlns="http://schemas.openxmlformats.org/spreadsheetml/2006/main" count="26" uniqueCount="24">
  <si>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</si>
  <si>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</si>
  <si>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</si>
  <si>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</si>
  <si>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</si>
  <si>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</si>
  <si>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</si>
  <si>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</si>
  <si>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</si>
  <si>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</si>
  <si>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</si>
  <si>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</si>
  <si>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</si>
  <si>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</si>
  <si>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</si>
  <si>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</si>
  <si>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</si>
  <si>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</si>
  <si>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</si>
  <si>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(विस्तारा) </t>
  </si>
  <si>
    <t>Table 1.01 (VISTARA)</t>
  </si>
  <si>
    <t>SOURCE:-  ICAO ATR FORM 'A' FURNISHED BY VISTARA</t>
  </si>
  <si>
    <t>2019-20</t>
  </si>
  <si>
    <t>MONTHLY TRAFFIC AND OPERATING STATISTICS OF VISTARA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</si>
</sst>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="98" zoomScaleNormal="98" workbookViewId="0">
      <selection activeCell="R11" sqref="R11"/>
    </sheetView>
  </sheetViews>
  <sheetFormatPr defaultRowHeight="15" x14ac:dyDescent="0.25"/>
  <cols>
    <col min="1" max="1" width="8.140625" customWidth="1"/>
    <col min="2" max="2" width="7.28515625" customWidth="1"/>
    <col min="3" max="3" width="8.140625" customWidth="1"/>
    <col min="4" max="4" width="7.42578125" customWidth="1"/>
    <col min="5" max="5" width="9.5703125" customWidth="1"/>
    <col min="6" max="7" width="7.42578125" customWidth="1"/>
    <col min="8" max="8" width="6.7109375" customWidth="1"/>
    <col min="10" max="10" width="6" customWidth="1"/>
    <col min="12" max="12" width="6.5703125" customWidth="1"/>
    <col min="13" max="13" width="6.7109375" customWidth="1"/>
    <col min="14" max="14" width="6.28515625" customWidth="1"/>
    <col min="15" max="15" width="7.140625" customWidth="1"/>
    <col min="16" max="16" width="8.28515625" customWidth="1"/>
    <col min="17" max="17" width="6.8554687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8.9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07.2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3755</v>
      </c>
      <c r="C6" s="2">
        <v>6250.15</v>
      </c>
      <c r="D6" s="2">
        <v>4176.91</v>
      </c>
      <c r="E6" s="2">
        <v>516629</v>
      </c>
      <c r="F6" s="2">
        <v>579.24080100000003</v>
      </c>
      <c r="G6" s="2">
        <v>685.01324</v>
      </c>
      <c r="H6" s="5">
        <f>F6/G6*100</f>
        <v>84.559066478773474</v>
      </c>
      <c r="I6" s="5">
        <v>4047.3009999999999</v>
      </c>
      <c r="J6" s="5">
        <v>0</v>
      </c>
      <c r="K6" s="5">
        <v>4047.3009999999999</v>
      </c>
      <c r="L6" s="5">
        <v>52.131672000000002</v>
      </c>
      <c r="M6" s="5">
        <v>5.1937520000000008</v>
      </c>
      <c r="N6" s="5">
        <v>0</v>
      </c>
      <c r="O6" s="5">
        <v>57.325423999999998</v>
      </c>
      <c r="P6" s="5">
        <v>71.843000000000004</v>
      </c>
      <c r="Q6" s="5">
        <f>O6/P6*100</f>
        <v>79.79263672174045</v>
      </c>
    </row>
    <row r="7" spans="1:17" x14ac:dyDescent="0.25">
      <c r="A7" s="9">
        <v>43586</v>
      </c>
      <c r="B7" s="3">
        <v>4143</v>
      </c>
      <c r="C7" s="3">
        <v>6710.45</v>
      </c>
      <c r="D7" s="3">
        <v>4473.7280000000001</v>
      </c>
      <c r="E7" s="3">
        <v>578615</v>
      </c>
      <c r="F7" s="3">
        <v>628.38375199999996</v>
      </c>
      <c r="G7" s="3">
        <v>733.69469600000002</v>
      </c>
      <c r="H7" s="6">
        <f t="shared" ref="H7:H18" si="0">F7/G7*100</f>
        <v>85.646489667413377</v>
      </c>
      <c r="I7" s="6">
        <v>4324.9902000000002</v>
      </c>
      <c r="J7" s="6">
        <v>0</v>
      </c>
      <c r="K7" s="6">
        <v>4324.9902000000002</v>
      </c>
      <c r="L7" s="6">
        <v>56.554537679999996</v>
      </c>
      <c r="M7" s="6">
        <v>5.3863746526000007</v>
      </c>
      <c r="N7" s="6">
        <v>0</v>
      </c>
      <c r="O7" s="6">
        <v>61.9409123326</v>
      </c>
      <c r="P7" s="6">
        <v>75.160034600000003</v>
      </c>
      <c r="Q7" s="6">
        <f t="shared" ref="Q7:Q18" si="1">O7/P7*100</f>
        <v>82.41203275417331</v>
      </c>
    </row>
    <row r="8" spans="1:17" x14ac:dyDescent="0.25">
      <c r="A8" s="8">
        <v>43617</v>
      </c>
      <c r="B8" s="2">
        <v>4820</v>
      </c>
      <c r="C8" s="2">
        <v>6680.77</v>
      </c>
      <c r="D8" s="2">
        <v>5023.9790000000003</v>
      </c>
      <c r="E8" s="2">
        <v>647799</v>
      </c>
      <c r="F8" s="2">
        <v>690.14462900000001</v>
      </c>
      <c r="G8" s="2">
        <v>828.58509100000003</v>
      </c>
      <c r="H8" s="5">
        <f t="shared" si="0"/>
        <v>83.291943880752257</v>
      </c>
      <c r="I8" s="5">
        <v>4326.7649000000001</v>
      </c>
      <c r="J8" s="5">
        <v>0</v>
      </c>
      <c r="K8" s="5">
        <v>4326.7649000000001</v>
      </c>
      <c r="L8" s="5">
        <v>62.113016609999988</v>
      </c>
      <c r="M8" s="5">
        <v>5.2658542177999976</v>
      </c>
      <c r="N8" s="5">
        <v>0</v>
      </c>
      <c r="O8" s="5">
        <v>67.378870827799986</v>
      </c>
      <c r="P8" s="5">
        <v>85.933170000000032</v>
      </c>
      <c r="Q8" s="5">
        <f t="shared" si="1"/>
        <v>78.40845488162482</v>
      </c>
    </row>
    <row r="9" spans="1:17" x14ac:dyDescent="0.25">
      <c r="A9" s="9">
        <v>43647</v>
      </c>
      <c r="B9" s="3">
        <v>5293</v>
      </c>
      <c r="C9" s="3">
        <v>6941.4666666666662</v>
      </c>
      <c r="D9" s="3">
        <v>5468.0439999999999</v>
      </c>
      <c r="E9" s="3">
        <v>714504</v>
      </c>
      <c r="F9" s="3">
        <v>745.81033400000001</v>
      </c>
      <c r="G9" s="3">
        <v>904.82702000000006</v>
      </c>
      <c r="H9" s="6">
        <f t="shared" si="0"/>
        <v>82.42573635787312</v>
      </c>
      <c r="I9" s="6">
        <v>3724.1743000000001</v>
      </c>
      <c r="J9" s="6">
        <v>0</v>
      </c>
      <c r="K9" s="6">
        <v>3724.1743000000001</v>
      </c>
      <c r="L9" s="6">
        <v>67.122930059999987</v>
      </c>
      <c r="M9" s="6">
        <v>4.4862180983000002</v>
      </c>
      <c r="N9" s="6">
        <v>0</v>
      </c>
      <c r="O9" s="6">
        <v>71.609148158299988</v>
      </c>
      <c r="P9" s="6">
        <v>94.377282300000047</v>
      </c>
      <c r="Q9" s="6">
        <f t="shared" si="1"/>
        <v>75.875408163029874</v>
      </c>
    </row>
    <row r="10" spans="1:17" x14ac:dyDescent="0.25">
      <c r="A10" s="8">
        <v>43678</v>
      </c>
      <c r="B10" s="2">
        <v>5135</v>
      </c>
      <c r="C10" s="2">
        <v>8343.2199999999993</v>
      </c>
      <c r="D10" s="2">
        <v>5395.2259999999997</v>
      </c>
      <c r="E10" s="2">
        <v>684209</v>
      </c>
      <c r="F10" s="2">
        <v>730.22794999999996</v>
      </c>
      <c r="G10" s="2">
        <v>892.29228000000001</v>
      </c>
      <c r="H10" s="5">
        <f t="shared" si="0"/>
        <v>81.837304476062485</v>
      </c>
      <c r="I10" s="5">
        <v>2200.3912300000002</v>
      </c>
      <c r="J10" s="5">
        <v>0</v>
      </c>
      <c r="K10" s="5">
        <v>2200.3912300000002</v>
      </c>
      <c r="L10" s="5">
        <v>65.720515500000019</v>
      </c>
      <c r="M10" s="5">
        <v>2.7296119568499986</v>
      </c>
      <c r="N10" s="5">
        <v>0</v>
      </c>
      <c r="O10" s="5">
        <v>68.450127456850026</v>
      </c>
      <c r="P10" s="5">
        <v>92.99060680000008</v>
      </c>
      <c r="Q10" s="5">
        <f t="shared" si="1"/>
        <v>73.609722328266344</v>
      </c>
    </row>
    <row r="11" spans="1:17" x14ac:dyDescent="0.25">
      <c r="A11" s="9">
        <v>43709</v>
      </c>
      <c r="B11" s="3">
        <v>5055</v>
      </c>
      <c r="C11" s="3">
        <v>6796.27</v>
      </c>
      <c r="D11" s="3">
        <v>5346.3440000000001</v>
      </c>
      <c r="E11" s="3">
        <v>664391</v>
      </c>
      <c r="F11" s="3">
        <v>711.17673000000002</v>
      </c>
      <c r="G11" s="3">
        <v>885.37924800000008</v>
      </c>
      <c r="H11" s="6">
        <f t="shared" si="0"/>
        <v>80.324531166332463</v>
      </c>
      <c r="I11" s="6">
        <v>497.75756000000001</v>
      </c>
      <c r="J11" s="6">
        <v>0</v>
      </c>
      <c r="K11" s="6">
        <v>497.75756000000001</v>
      </c>
      <c r="L11" s="6">
        <v>64.005905700000014</v>
      </c>
      <c r="M11" s="6">
        <v>0.62868322969999979</v>
      </c>
      <c r="N11" s="6">
        <v>0</v>
      </c>
      <c r="O11" s="6">
        <v>64.634588929700016</v>
      </c>
      <c r="P11" s="6">
        <v>92.57941480000008</v>
      </c>
      <c r="Q11" s="6">
        <f t="shared" si="1"/>
        <v>69.815292167627689</v>
      </c>
    </row>
    <row r="12" spans="1:17" x14ac:dyDescent="0.25">
      <c r="A12" s="8">
        <v>43739</v>
      </c>
      <c r="B12" s="2">
        <v>5182</v>
      </c>
      <c r="C12" s="2">
        <v>9229.39</v>
      </c>
      <c r="D12" s="2">
        <v>5571.6120000000001</v>
      </c>
      <c r="E12" s="2">
        <v>668715</v>
      </c>
      <c r="F12" s="2">
        <v>718.65911800000003</v>
      </c>
      <c r="G12" s="2">
        <v>922.39588399999991</v>
      </c>
      <c r="H12" s="5">
        <f t="shared" si="0"/>
        <v>77.912220822529179</v>
      </c>
      <c r="I12" s="5">
        <v>262.38607000000002</v>
      </c>
      <c r="J12" s="5">
        <v>0</v>
      </c>
      <c r="K12" s="5">
        <v>262.38607000000002</v>
      </c>
      <c r="L12" s="5">
        <v>64.67932061999997</v>
      </c>
      <c r="M12" s="5">
        <v>0.34392968460999984</v>
      </c>
      <c r="N12" s="5">
        <v>0</v>
      </c>
      <c r="O12" s="5">
        <v>65.023250304609959</v>
      </c>
      <c r="P12" s="5">
        <v>95.075897900000044</v>
      </c>
      <c r="Q12" s="5">
        <f t="shared" si="1"/>
        <v>68.390887428694938</v>
      </c>
    </row>
    <row r="13" spans="1:17" x14ac:dyDescent="0.25">
      <c r="A13" s="9">
        <v>43770</v>
      </c>
      <c r="B13" s="3">
        <v>5496</v>
      </c>
      <c r="C13" s="3">
        <v>9646.2800000000007</v>
      </c>
      <c r="D13" s="3">
        <v>5823.1030000000001</v>
      </c>
      <c r="E13" s="3">
        <v>760313</v>
      </c>
      <c r="F13" s="3">
        <v>809.16892299999995</v>
      </c>
      <c r="G13" s="3">
        <v>962.23106000000007</v>
      </c>
      <c r="H13" s="6">
        <f t="shared" si="0"/>
        <v>84.092995605442198</v>
      </c>
      <c r="I13" s="6">
        <v>13.145</v>
      </c>
      <c r="J13" s="6">
        <v>0</v>
      </c>
      <c r="K13" s="6">
        <v>13.145</v>
      </c>
      <c r="L13" s="6">
        <v>72.825203070000015</v>
      </c>
      <c r="M13" s="6">
        <v>1.424943E-2</v>
      </c>
      <c r="N13" s="6">
        <v>0</v>
      </c>
      <c r="O13" s="6">
        <v>72.839452500000007</v>
      </c>
      <c r="P13" s="6">
        <v>94.018315100000095</v>
      </c>
      <c r="Q13" s="6">
        <f t="shared" si="1"/>
        <v>77.473684167309585</v>
      </c>
    </row>
    <row r="14" spans="1:17" x14ac:dyDescent="0.25">
      <c r="A14" s="8">
        <v>43800</v>
      </c>
      <c r="B14" s="2">
        <v>5914</v>
      </c>
      <c r="C14" s="2">
        <v>10490.75</v>
      </c>
      <c r="D14" s="2">
        <v>6299.424</v>
      </c>
      <c r="E14" s="2">
        <v>791892</v>
      </c>
      <c r="F14" s="2">
        <v>842.999685</v>
      </c>
      <c r="G14" s="2">
        <v>1039.3514319999999</v>
      </c>
      <c r="H14" s="5">
        <f t="shared" si="0"/>
        <v>81.108242991288819</v>
      </c>
      <c r="I14" s="5">
        <v>31.844000000000001</v>
      </c>
      <c r="J14" s="5">
        <v>0</v>
      </c>
      <c r="K14" s="5">
        <v>31.844000000000001</v>
      </c>
      <c r="L14" s="5">
        <v>75.869971649999997</v>
      </c>
      <c r="M14" s="5">
        <v>3.9901926000000011E-2</v>
      </c>
      <c r="N14" s="5">
        <v>0</v>
      </c>
      <c r="O14" s="5">
        <v>75.909873575999995</v>
      </c>
      <c r="P14" s="5">
        <v>104.9004405000001</v>
      </c>
      <c r="Q14" s="5">
        <f t="shared" si="1"/>
        <v>72.363731948294273</v>
      </c>
    </row>
    <row r="15" spans="1:17" x14ac:dyDescent="0.25">
      <c r="A15" s="9">
        <v>43831</v>
      </c>
      <c r="B15" s="3">
        <v>6052</v>
      </c>
      <c r="C15" s="3">
        <v>10751.47</v>
      </c>
      <c r="D15" s="3">
        <v>6436.7370000000001</v>
      </c>
      <c r="E15" s="3">
        <v>830945</v>
      </c>
      <c r="F15" s="3">
        <v>885.42502899999999</v>
      </c>
      <c r="G15" s="3">
        <v>1060.1961240000001</v>
      </c>
      <c r="H15" s="6">
        <f t="shared" si="0"/>
        <v>83.515210908279087</v>
      </c>
      <c r="I15" s="6">
        <v>1455.5989999999999</v>
      </c>
      <c r="J15" s="6"/>
      <c r="K15" s="6">
        <v>1455.5989999999999</v>
      </c>
      <c r="L15" s="6">
        <v>79.688252609999992</v>
      </c>
      <c r="M15" s="6">
        <v>2.0172321269999993</v>
      </c>
      <c r="N15" s="6">
        <v>0</v>
      </c>
      <c r="O15" s="6">
        <v>81.705484736999992</v>
      </c>
      <c r="P15" s="6">
        <v>99.272193900000076</v>
      </c>
      <c r="Q15" s="6">
        <f t="shared" si="1"/>
        <v>82.304501922566985</v>
      </c>
    </row>
    <row r="16" spans="1:17" x14ac:dyDescent="0.25">
      <c r="A16" s="8">
        <v>43862</v>
      </c>
      <c r="B16" s="2">
        <v>5766</v>
      </c>
      <c r="C16" s="2">
        <v>10409.52</v>
      </c>
      <c r="D16" s="2">
        <v>6086.9309999999996</v>
      </c>
      <c r="E16" s="2">
        <v>833783</v>
      </c>
      <c r="F16" s="2">
        <v>882.30591299999992</v>
      </c>
      <c r="G16" s="2">
        <v>1002.7085159999999</v>
      </c>
      <c r="H16" s="5">
        <f t="shared" si="0"/>
        <v>87.992262848199445</v>
      </c>
      <c r="I16" s="5">
        <v>1888.45</v>
      </c>
      <c r="J16" s="5"/>
      <c r="K16" s="5">
        <v>1888.45</v>
      </c>
      <c r="L16" s="5">
        <v>79.407532169999953</v>
      </c>
      <c r="M16" s="5">
        <v>2.412982344</v>
      </c>
      <c r="N16" s="5">
        <v>0</v>
      </c>
      <c r="O16" s="5">
        <v>81.820514513999953</v>
      </c>
      <c r="P16" s="5">
        <v>94.613627600000115</v>
      </c>
      <c r="Q16" s="5">
        <f t="shared" si="1"/>
        <v>86.478572473633648</v>
      </c>
    </row>
    <row r="17" spans="1:17" x14ac:dyDescent="0.25">
      <c r="A17" s="9">
        <v>43891</v>
      </c>
      <c r="B17" s="3">
        <v>4182</v>
      </c>
      <c r="C17" s="3">
        <v>7227.35</v>
      </c>
      <c r="D17" s="3">
        <v>4456.1189999999997</v>
      </c>
      <c r="E17" s="3">
        <v>457191</v>
      </c>
      <c r="F17" s="3">
        <v>488.17907400000001</v>
      </c>
      <c r="G17" s="3">
        <v>734.92756000000008</v>
      </c>
      <c r="H17" s="6">
        <f t="shared" si="0"/>
        <v>66.425468382217147</v>
      </c>
      <c r="I17" s="6">
        <v>1360.4880000000001</v>
      </c>
      <c r="J17" s="6"/>
      <c r="K17" s="6">
        <v>1360.4880000000001</v>
      </c>
      <c r="L17" s="6">
        <v>43.936116659999989</v>
      </c>
      <c r="M17" s="6">
        <v>1.8233056950000006</v>
      </c>
      <c r="N17" s="6">
        <v>0</v>
      </c>
      <c r="O17" s="6">
        <v>45.759422354999998</v>
      </c>
      <c r="P17" s="6">
        <v>76.843677300000053</v>
      </c>
      <c r="Q17" s="6">
        <f t="shared" si="1"/>
        <v>59.54871495328603</v>
      </c>
    </row>
    <row r="18" spans="1:17" x14ac:dyDescent="0.25">
      <c r="A18" s="1" t="s">
        <v>22</v>
      </c>
      <c r="B18" s="4">
        <f>SUM(B6:B17)</f>
        <v>60793</v>
      </c>
      <c r="C18" s="4">
        <f t="shared" ref="C18:G18" si="2">SUM(C6:C17)</f>
        <v>99477.08666666667</v>
      </c>
      <c r="D18" s="4">
        <f t="shared" si="2"/>
        <v>64558.156999999999</v>
      </c>
      <c r="E18" s="4">
        <f t="shared" si="2"/>
        <v>8148986</v>
      </c>
      <c r="F18" s="4">
        <f t="shared" si="2"/>
        <v>8711.7219379999988</v>
      </c>
      <c r="G18" s="4">
        <f t="shared" si="2"/>
        <v>10651.602151000001</v>
      </c>
      <c r="H18" s="7">
        <f t="shared" si="0"/>
        <v>81.78790208740682</v>
      </c>
      <c r="I18" s="7">
        <f t="shared" ref="I18:P18" si="3">SUM(I6:I17)</f>
        <v>24133.291260000002</v>
      </c>
      <c r="J18" s="7">
        <f t="shared" si="3"/>
        <v>0</v>
      </c>
      <c r="K18" s="7">
        <f t="shared" si="3"/>
        <v>24133.291260000002</v>
      </c>
      <c r="L18" s="7">
        <f t="shared" si="3"/>
        <v>784.05497433000005</v>
      </c>
      <c r="M18" s="7">
        <f t="shared" si="3"/>
        <v>30.342095361859997</v>
      </c>
      <c r="N18" s="7">
        <f t="shared" si="3"/>
        <v>0</v>
      </c>
      <c r="O18" s="7">
        <f t="shared" si="3"/>
        <v>814.39706969185988</v>
      </c>
      <c r="P18" s="7">
        <f t="shared" si="3"/>
        <v>1077.6076608000008</v>
      </c>
      <c r="Q18" s="7">
        <f t="shared" si="1"/>
        <v>75.574543437011471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2020-05-06T11:03:48Z</cp:lastPrinted>
  <dcterms:created xsi:type="dcterms:W3CDTF">2018-10-29T04:00:07Z</dcterms:created>
  <dcterms:modified xsi:type="dcterms:W3CDTF">2021-09-15T01:36:06Z</dcterms:modified>
</cp:coreProperties>
</file>