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IANCE AIR\"/>
    </mc:Choice>
  </mc:AlternateContent>
  <bookViews>
    <workbookView xWindow="-120" yWindow="-120" windowWidth="20736" windowHeight="11160"/>
  </bookViews>
  <sheets>
    <sheet name="ALLIANCE AIR" sheetId="1" r:id="rId1"/>
  </sheets>
  <definedNames>
    <definedName name="_xlnm.Print_Area" localSheetId="0">'ALLIANCE AIR'!$A$1:$Q$19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1" l="1"/>
  <c r="Q7" i="1"/>
  <c r="Q8" i="1"/>
  <c r="Q9" i="1"/>
  <c r="Q10" i="1"/>
  <c r="Q11" i="1"/>
  <c r="Q12" i="1"/>
  <c r="Q13" i="1"/>
  <c r="Q14" i="1"/>
  <c r="Q15" i="1"/>
  <c r="Q16" i="1"/>
  <c r="Q17" i="1"/>
  <c r="Q18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<sst xmlns="http://schemas.openxmlformats.org/spreadsheetml/2006/main" count="26" uniqueCount="24">
  <si>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</si>
  <si>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</si>
  <si>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</si>
  <si>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</si>
  <si>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</si>
  <si>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</si>
  <si>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</si>
  <si>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</si>
  <si>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</si>
  <si>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</si>
  <si>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</si>
  <si>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</si>
  <si>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</si>
  <si>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</si>
  <si>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</si>
  <si>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</si>
  <si>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</si>
  <si>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</si>
  <si>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</si>
  <si>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</si>
  <si>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(एलाइंस एयर) </t>
  </si>
  <si>
    <t>Table 1.01 (ALLIANCE AIR)</t>
  </si>
  <si>
    <t>SOURCE:-  ICAO ATR FORM 'A' FURNISHED BY ALLIANCE AIR</t>
  </si>
  <si>
    <t>MONTHLY TRAFFIC AND OPERATING STATISTICS OF ALLIANCE AIR ON SCHEDULED DOMESTIC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</si>
</sst>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SheetLayoutView="100" workbookViewId="0">
      <selection activeCell="B4" sqref="B4:D4"/>
    </sheetView>
  </sheetViews>
  <sheetFormatPr defaultColWidth="9.109375" defaultRowHeight="14.4" x14ac:dyDescent="0.3"/>
  <cols>
    <col min="1" max="1" width="8.109375" style="1" customWidth="1"/>
    <col min="2" max="2" width="8.33203125" style="1" customWidth="1"/>
    <col min="3" max="3" width="7.88671875" style="1" customWidth="1"/>
    <col min="4" max="4" width="7.33203125" style="1" customWidth="1"/>
    <col min="5" max="5" width="10.33203125" style="1" customWidth="1"/>
    <col min="6" max="6" width="7" style="1" customWidth="1"/>
    <col min="7" max="7" width="8.44140625" style="1" customWidth="1"/>
    <col min="8" max="9" width="6.33203125" style="1" customWidth="1"/>
    <col min="10" max="10" width="6.5546875" style="1" customWidth="1"/>
    <col min="11" max="11" width="6.88671875" style="1" customWidth="1"/>
    <col min="12" max="12" width="7.88671875" style="1" customWidth="1"/>
    <col min="13" max="14" width="6.88671875" style="1" customWidth="1"/>
    <col min="15" max="15" width="7.6640625" style="1" customWidth="1"/>
    <col min="16" max="16" width="8.6640625" style="1" customWidth="1"/>
    <col min="17" max="17" width="8.109375" style="1" customWidth="1"/>
    <col min="18" max="16384" width="9.109375" style="1"/>
  </cols>
  <sheetData>
    <row r="1" spans="1:17" ht="20.100000000000001" customHeight="1" x14ac:dyDescent="0.3">
      <c r="A1" s="17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0.100000000000001" customHeight="1" x14ac:dyDescent="0.3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0.100000000000001" customHeight="1" x14ac:dyDescent="0.3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0" customHeight="1" x14ac:dyDescent="0.3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14" customHeight="1" x14ac:dyDescent="0.3">
      <c r="A5" s="21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16.5" customHeight="1" x14ac:dyDescent="0.3">
      <c r="A6" s="9">
        <v>43191</v>
      </c>
      <c r="B6" s="3">
        <v>2255</v>
      </c>
      <c r="C6" s="3">
        <v>4251</v>
      </c>
      <c r="D6" s="3">
        <v>1975</v>
      </c>
      <c r="E6" s="3">
        <v>139655</v>
      </c>
      <c r="F6" s="3">
        <v>61.098999999999997</v>
      </c>
      <c r="G6" s="3">
        <v>80.027000000000001</v>
      </c>
      <c r="H6" s="12">
        <f>F6/G6*100</f>
        <v>76.347982555887384</v>
      </c>
      <c r="I6" s="6">
        <v>7</v>
      </c>
      <c r="J6" s="6">
        <v>3</v>
      </c>
      <c r="K6" s="6">
        <v>10</v>
      </c>
      <c r="L6" s="6">
        <v>5.5609999999999999</v>
      </c>
      <c r="M6" s="6">
        <v>5.0000000000000001E-3</v>
      </c>
      <c r="N6" s="6">
        <v>2E-3</v>
      </c>
      <c r="O6" s="6">
        <v>5.5679999999999996</v>
      </c>
      <c r="P6" s="6">
        <v>7.4340000000000002</v>
      </c>
      <c r="Q6" s="12">
        <f>O6/P6*100</f>
        <v>74.899112187247781</v>
      </c>
    </row>
    <row r="7" spans="1:17" ht="18" customHeight="1" x14ac:dyDescent="0.3">
      <c r="A7" s="10">
        <v>43221</v>
      </c>
      <c r="B7" s="4">
        <v>2320</v>
      </c>
      <c r="C7" s="4">
        <v>4385</v>
      </c>
      <c r="D7" s="4">
        <v>2318</v>
      </c>
      <c r="E7" s="4">
        <v>137718</v>
      </c>
      <c r="F7" s="4">
        <v>60.113999999999997</v>
      </c>
      <c r="G7" s="4">
        <v>82.412999999999997</v>
      </c>
      <c r="H7" s="12">
        <f t="shared" ref="H7:H17" si="0">F7/G7*100</f>
        <v>72.942375596083139</v>
      </c>
      <c r="I7" s="7">
        <v>5</v>
      </c>
      <c r="J7" s="7">
        <v>3</v>
      </c>
      <c r="K7" s="7">
        <v>8</v>
      </c>
      <c r="L7" s="7">
        <v>5.8029999999999999</v>
      </c>
      <c r="M7" s="7">
        <v>2E-3</v>
      </c>
      <c r="N7" s="7">
        <v>1E-3</v>
      </c>
      <c r="O7" s="7">
        <v>5.806</v>
      </c>
      <c r="P7" s="7">
        <v>7.665</v>
      </c>
      <c r="Q7" s="12">
        <f t="shared" ref="Q7:Q18" si="1">O7/P7*100</f>
        <v>75.74690150032616</v>
      </c>
    </row>
    <row r="8" spans="1:17" ht="12.75" customHeight="1" x14ac:dyDescent="0.3">
      <c r="A8" s="9">
        <v>43252</v>
      </c>
      <c r="B8" s="3">
        <v>2152</v>
      </c>
      <c r="C8" s="3">
        <v>4133</v>
      </c>
      <c r="D8" s="3">
        <v>1872</v>
      </c>
      <c r="E8" s="3">
        <v>131358</v>
      </c>
      <c r="F8" s="3">
        <v>56.37</v>
      </c>
      <c r="G8" s="3">
        <v>77.7</v>
      </c>
      <c r="H8" s="12">
        <f t="shared" si="0"/>
        <v>72.548262548262542</v>
      </c>
      <c r="I8" s="6">
        <v>7</v>
      </c>
      <c r="J8" s="6">
        <v>3</v>
      </c>
      <c r="K8" s="6">
        <v>10</v>
      </c>
      <c r="L8" s="6">
        <v>5.1289999999999996</v>
      </c>
      <c r="M8" s="6">
        <v>5.0000000000000001E-3</v>
      </c>
      <c r="N8" s="6">
        <v>2E-3</v>
      </c>
      <c r="O8" s="6">
        <v>5.1360000000000001</v>
      </c>
      <c r="P8" s="6">
        <v>7.2220000000000004</v>
      </c>
      <c r="Q8" s="12">
        <f t="shared" si="1"/>
        <v>71.116034339518137</v>
      </c>
    </row>
    <row r="9" spans="1:17" ht="15.75" customHeight="1" x14ac:dyDescent="0.3">
      <c r="A9" s="10">
        <v>43282</v>
      </c>
      <c r="B9" s="4">
        <v>2259</v>
      </c>
      <c r="C9" s="4">
        <v>4254</v>
      </c>
      <c r="D9" s="4">
        <v>1979</v>
      </c>
      <c r="E9" s="4">
        <v>134169</v>
      </c>
      <c r="F9" s="4">
        <v>57.904000000000003</v>
      </c>
      <c r="G9" s="4">
        <v>80.341999999999999</v>
      </c>
      <c r="H9" s="12">
        <f t="shared" si="0"/>
        <v>72.071892658883272</v>
      </c>
      <c r="I9" s="7">
        <v>7</v>
      </c>
      <c r="J9" s="7">
        <v>3</v>
      </c>
      <c r="K9" s="7">
        <v>10</v>
      </c>
      <c r="L9" s="7">
        <v>5.2690000000000001</v>
      </c>
      <c r="M9" s="7">
        <v>5.0000000000000001E-3</v>
      </c>
      <c r="N9" s="7">
        <v>2E-3</v>
      </c>
      <c r="O9" s="7">
        <v>5.2759999999999998</v>
      </c>
      <c r="P9" s="7">
        <v>7.4720000000000004</v>
      </c>
      <c r="Q9" s="12">
        <f t="shared" si="1"/>
        <v>70.610278372590997</v>
      </c>
    </row>
    <row r="10" spans="1:17" ht="18" customHeight="1" x14ac:dyDescent="0.3">
      <c r="A10" s="9">
        <v>43313</v>
      </c>
      <c r="B10" s="3">
        <v>2358</v>
      </c>
      <c r="C10" s="3">
        <v>4416</v>
      </c>
      <c r="D10" s="3">
        <v>2078</v>
      </c>
      <c r="E10" s="3">
        <v>132970</v>
      </c>
      <c r="F10" s="3">
        <v>56.929000000000002</v>
      </c>
      <c r="G10" s="3">
        <v>83.152000000000001</v>
      </c>
      <c r="H10" s="12">
        <f t="shared" si="0"/>
        <v>68.463777179141815</v>
      </c>
      <c r="I10" s="6">
        <v>7</v>
      </c>
      <c r="J10" s="6">
        <v>3</v>
      </c>
      <c r="K10" s="6">
        <v>10</v>
      </c>
      <c r="L10" s="6">
        <v>5.1820000000000004</v>
      </c>
      <c r="M10" s="6">
        <v>5.0000000000000001E-3</v>
      </c>
      <c r="N10" s="6">
        <v>2E-3</v>
      </c>
      <c r="O10" s="6">
        <v>5.1890000000000001</v>
      </c>
      <c r="P10" s="6">
        <v>7.7380000000000004</v>
      </c>
      <c r="Q10" s="12">
        <f t="shared" si="1"/>
        <v>67.058671491341428</v>
      </c>
    </row>
    <row r="11" spans="1:17" ht="15" customHeight="1" x14ac:dyDescent="0.3">
      <c r="A11" s="10">
        <v>43344</v>
      </c>
      <c r="B11" s="4">
        <v>2396</v>
      </c>
      <c r="C11" s="4">
        <v>4430</v>
      </c>
      <c r="D11" s="4">
        <v>2116</v>
      </c>
      <c r="E11" s="4">
        <v>129952</v>
      </c>
      <c r="F11" s="4">
        <v>54.847000000000001</v>
      </c>
      <c r="G11" s="4">
        <v>84.325999999999993</v>
      </c>
      <c r="H11" s="12">
        <f t="shared" si="0"/>
        <v>65.041624172852991</v>
      </c>
      <c r="I11" s="7">
        <v>7</v>
      </c>
      <c r="J11" s="7">
        <v>0</v>
      </c>
      <c r="K11" s="7">
        <v>7</v>
      </c>
      <c r="L11" s="7">
        <v>4.9950000000000001</v>
      </c>
      <c r="M11" s="7">
        <v>7.0000000000000001E-3</v>
      </c>
      <c r="N11" s="7">
        <v>0</v>
      </c>
      <c r="O11" s="7">
        <v>5.0019999999999998</v>
      </c>
      <c r="P11" s="7">
        <v>7.8220000000000001</v>
      </c>
      <c r="Q11" s="12">
        <f t="shared" si="1"/>
        <v>63.947839427256447</v>
      </c>
    </row>
    <row r="12" spans="1:17" ht="16.5" customHeight="1" x14ac:dyDescent="0.3">
      <c r="A12" s="9">
        <v>43374</v>
      </c>
      <c r="B12" s="3">
        <v>2369</v>
      </c>
      <c r="C12" s="3">
        <v>4086</v>
      </c>
      <c r="D12" s="3">
        <v>2104</v>
      </c>
      <c r="E12" s="3">
        <v>123014</v>
      </c>
      <c r="F12" s="3">
        <v>51.235999999999997</v>
      </c>
      <c r="G12" s="3">
        <v>78.182000000000002</v>
      </c>
      <c r="H12" s="12">
        <f t="shared" si="0"/>
        <v>65.534266199380937</v>
      </c>
      <c r="I12" s="6">
        <v>6</v>
      </c>
      <c r="J12" s="6">
        <v>0</v>
      </c>
      <c r="K12" s="6">
        <v>6</v>
      </c>
      <c r="L12" s="6">
        <v>4.665</v>
      </c>
      <c r="M12" s="6">
        <v>7.0000000000000001E-3</v>
      </c>
      <c r="N12" s="6">
        <v>0</v>
      </c>
      <c r="O12" s="6">
        <v>4.6719999999999997</v>
      </c>
      <c r="P12" s="6">
        <v>7.2590000000000003</v>
      </c>
      <c r="Q12" s="12">
        <f t="shared" si="1"/>
        <v>64.361482297837156</v>
      </c>
    </row>
    <row r="13" spans="1:17" ht="17.25" customHeight="1" x14ac:dyDescent="0.3">
      <c r="A13" s="10">
        <v>43405</v>
      </c>
      <c r="B13" s="4">
        <v>2439</v>
      </c>
      <c r="C13" s="4">
        <v>4163</v>
      </c>
      <c r="D13" s="4">
        <v>2187</v>
      </c>
      <c r="E13" s="4">
        <v>129339</v>
      </c>
      <c r="F13" s="4">
        <v>54.168999999999997</v>
      </c>
      <c r="G13" s="4">
        <v>79.653000000000006</v>
      </c>
      <c r="H13" s="12">
        <f t="shared" si="0"/>
        <v>68.006227009654367</v>
      </c>
      <c r="I13" s="7">
        <v>6.5</v>
      </c>
      <c r="J13" s="7">
        <v>0</v>
      </c>
      <c r="K13" s="7">
        <v>6.5</v>
      </c>
      <c r="L13" s="7">
        <v>4.6740000000000004</v>
      </c>
      <c r="M13" s="7">
        <v>3.0000000000000001E-3</v>
      </c>
      <c r="N13" s="7">
        <v>0</v>
      </c>
      <c r="O13" s="7">
        <v>4.6769999999999996</v>
      </c>
      <c r="P13" s="7">
        <v>7.2590000000000003</v>
      </c>
      <c r="Q13" s="12">
        <f t="shared" si="1"/>
        <v>64.430362308857951</v>
      </c>
    </row>
    <row r="14" spans="1:17" ht="14.25" customHeight="1" x14ac:dyDescent="0.3">
      <c r="A14" s="9">
        <v>43435</v>
      </c>
      <c r="B14" s="3">
        <v>3201</v>
      </c>
      <c r="C14" s="3">
        <v>4613</v>
      </c>
      <c r="D14" s="3">
        <v>1844</v>
      </c>
      <c r="E14" s="3">
        <v>143712</v>
      </c>
      <c r="F14" s="3">
        <v>61.430999999999997</v>
      </c>
      <c r="G14" s="3">
        <v>88.724999999999994</v>
      </c>
      <c r="H14" s="12">
        <f t="shared" si="0"/>
        <v>69.237531699070161</v>
      </c>
      <c r="I14" s="6">
        <v>4.8</v>
      </c>
      <c r="J14" s="6">
        <v>0</v>
      </c>
      <c r="K14" s="6">
        <v>4.8</v>
      </c>
      <c r="L14" s="6">
        <v>5.59</v>
      </c>
      <c r="M14" s="6">
        <v>2.2000000000000001E-3</v>
      </c>
      <c r="N14" s="6">
        <v>0</v>
      </c>
      <c r="O14" s="6">
        <v>5.5922000000000001</v>
      </c>
      <c r="P14" s="6">
        <v>8.2409999999999997</v>
      </c>
      <c r="Q14" s="12">
        <f t="shared" si="1"/>
        <v>67.858269627472396</v>
      </c>
    </row>
    <row r="15" spans="1:17" ht="15.75" customHeight="1" x14ac:dyDescent="0.3">
      <c r="A15" s="10">
        <v>43466</v>
      </c>
      <c r="B15" s="4">
        <v>2606</v>
      </c>
      <c r="C15" s="4">
        <v>4638</v>
      </c>
      <c r="D15" s="4">
        <v>1901</v>
      </c>
      <c r="E15" s="4">
        <v>138705</v>
      </c>
      <c r="F15" s="4">
        <v>58.712999000000003</v>
      </c>
      <c r="G15" s="4">
        <v>89.372473999999997</v>
      </c>
      <c r="H15" s="12">
        <f t="shared" si="0"/>
        <v>65.694722739800184</v>
      </c>
      <c r="I15" s="7">
        <v>6.5</v>
      </c>
      <c r="J15" s="7">
        <v>0</v>
      </c>
      <c r="K15" s="7">
        <v>6.5</v>
      </c>
      <c r="L15" s="7">
        <v>5.343</v>
      </c>
      <c r="M15" s="7">
        <v>3.0000000000000001E-3</v>
      </c>
      <c r="N15" s="7">
        <v>0</v>
      </c>
      <c r="O15" s="7">
        <v>5.3460000000000001</v>
      </c>
      <c r="P15" s="7">
        <v>8.3059999999999992</v>
      </c>
      <c r="Q15" s="12">
        <f t="shared" si="1"/>
        <v>64.363111004093426</v>
      </c>
    </row>
    <row r="16" spans="1:17" ht="14.25" customHeight="1" x14ac:dyDescent="0.3">
      <c r="A16" s="9">
        <v>43497</v>
      </c>
      <c r="B16" s="3">
        <v>2214</v>
      </c>
      <c r="C16" s="3">
        <v>4015</v>
      </c>
      <c r="D16" s="3">
        <v>1659</v>
      </c>
      <c r="E16" s="3">
        <v>127312</v>
      </c>
      <c r="F16" s="3">
        <v>53.353999999999999</v>
      </c>
      <c r="G16" s="3">
        <v>77.272000000000006</v>
      </c>
      <c r="H16" s="12">
        <f t="shared" si="0"/>
        <v>69.047002795320424</v>
      </c>
      <c r="I16" s="6">
        <v>8</v>
      </c>
      <c r="J16" s="6">
        <v>0</v>
      </c>
      <c r="K16" s="6">
        <v>8</v>
      </c>
      <c r="L16" s="6">
        <v>4.8550000000000004</v>
      </c>
      <c r="M16" s="6">
        <v>3.8E-3</v>
      </c>
      <c r="N16" s="6">
        <v>0</v>
      </c>
      <c r="O16" s="6">
        <v>4.8588000000000005</v>
      </c>
      <c r="P16" s="6">
        <v>7.1779999999999999</v>
      </c>
      <c r="Q16" s="12">
        <f t="shared" si="1"/>
        <v>67.690164391195324</v>
      </c>
    </row>
    <row r="17" spans="1:17" ht="15" customHeight="1" x14ac:dyDescent="0.3">
      <c r="A17" s="10">
        <v>43525</v>
      </c>
      <c r="B17" s="4">
        <v>2414</v>
      </c>
      <c r="C17" s="4">
        <v>4314</v>
      </c>
      <c r="D17" s="4">
        <v>1788</v>
      </c>
      <c r="E17" s="4">
        <v>129478</v>
      </c>
      <c r="F17" s="4">
        <v>53.681290000000004</v>
      </c>
      <c r="G17" s="4">
        <v>83.357690000000005</v>
      </c>
      <c r="H17" s="12">
        <f t="shared" si="0"/>
        <v>64.398725540499029</v>
      </c>
      <c r="I17" s="7">
        <v>11.5</v>
      </c>
      <c r="J17" s="7">
        <v>0</v>
      </c>
      <c r="K17" s="7">
        <v>11.5</v>
      </c>
      <c r="L17" s="7">
        <v>4.8550000000000004</v>
      </c>
      <c r="M17" s="7">
        <v>3.8E-3</v>
      </c>
      <c r="N17" s="7">
        <v>0</v>
      </c>
      <c r="O17" s="7">
        <v>4.8588000000000005</v>
      </c>
      <c r="P17" s="7">
        <v>7.7430000000000003</v>
      </c>
      <c r="Q17" s="12">
        <f t="shared" si="1"/>
        <v>62.750871755133673</v>
      </c>
    </row>
    <row r="18" spans="1:17" ht="15.75" customHeight="1" x14ac:dyDescent="0.3">
      <c r="A18" s="2" t="s">
        <v>19</v>
      </c>
      <c r="B18" s="5">
        <f>SUM(B6:B17)</f>
        <v>28983</v>
      </c>
      <c r="C18" s="5">
        <f t="shared" ref="C18:G18" si="2">SUM(C6:C17)</f>
        <v>51698</v>
      </c>
      <c r="D18" s="5">
        <f t="shared" si="2"/>
        <v>23821</v>
      </c>
      <c r="E18" s="5">
        <f t="shared" si="2"/>
        <v>1597382</v>
      </c>
      <c r="F18" s="5">
        <f t="shared" si="2"/>
        <v>679.84728899999993</v>
      </c>
      <c r="G18" s="5">
        <f t="shared" si="2"/>
        <v>984.52216400000009</v>
      </c>
      <c r="H18" s="13">
        <f>F18/G18*100</f>
        <v>69.05352808288832</v>
      </c>
      <c r="I18" s="8">
        <f t="shared" ref="I18" si="3">SUM(I6:I17)</f>
        <v>83.3</v>
      </c>
      <c r="J18" s="8">
        <f t="shared" ref="J18" si="4">SUM(J6:J17)</f>
        <v>15</v>
      </c>
      <c r="K18" s="8">
        <f t="shared" ref="K18" si="5">SUM(K6:K17)</f>
        <v>98.3</v>
      </c>
      <c r="L18" s="8">
        <f t="shared" ref="L18" si="6">SUM(L6:L17)</f>
        <v>61.921000000000021</v>
      </c>
      <c r="M18" s="8">
        <f t="shared" ref="M18" si="7">SUM(M6:M17)</f>
        <v>5.1800000000000006E-2</v>
      </c>
      <c r="N18" s="8">
        <f t="shared" ref="N18" si="8">SUM(N6:N17)</f>
        <v>9.0000000000000011E-3</v>
      </c>
      <c r="O18" s="8">
        <f t="shared" ref="O18" si="9">SUM(O6:O17)</f>
        <v>61.981799999999993</v>
      </c>
      <c r="P18" s="8">
        <f t="shared" ref="P18" si="10">SUM(P6:P17)</f>
        <v>91.338999999999999</v>
      </c>
      <c r="Q18" s="13">
        <f t="shared" si="1"/>
        <v>67.85907443698747</v>
      </c>
    </row>
    <row r="19" spans="1:17" ht="15.75" customHeight="1" x14ac:dyDescent="0.3">
      <c r="A19" s="14" t="s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2020-06-03T10:56:43Z</dcterms:modified>
</cp:coreProperties>
</file>