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cer\Desktop\Yearly Report (2018-19)\Domestic final 22.5.2020\EXCELs\INDIGO\"/>
    </mc:Choice>
  </mc:AlternateContent>
  <bookViews>
    <workbookView showHorizontalScroll="0" showVerticalScroll="0" xWindow="-120" yWindow="-120" windowWidth="20736" windowHeight="11160"/>
  </bookViews>
  <sheets>
    <sheet name="INDIGO" sheetId="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Q7" i="4" l="1"/>
  <c r="Q8" i="4"/>
  <c r="Q9" i="4"/>
  <c r="Q10" i="4"/>
  <c r="Q11" i="4"/>
  <c r="Q12" i="4"/>
  <c r="Q13" i="4"/>
  <c r="Q14" i="4"/>
  <c r="Q15" i="4"/>
  <c r="Q16" i="4"/>
  <c r="Q17" i="4"/>
  <c r="Q18" i="4"/>
  <c r="Q6" i="4"/>
  <c r="H7" i="4"/>
  <c r="H8" i="4"/>
  <c r="H9" i="4"/>
  <c r="H10" i="4"/>
  <c r="H11" i="4"/>
  <c r="H12" i="4"/>
  <c r="H13" i="4"/>
  <c r="H14" i="4"/>
  <c r="H15" i="4"/>
  <c r="H16" i="4"/>
  <c r="H17" i="4"/>
  <c r="H18" i="4"/>
  <c r="H6" i="4"/>
  <c r="J18" i="4" l="1"/>
  <c r="I18" i="4"/>
  <c r="F18" i="4"/>
  <c r="B18" i="4"/>
  <c r="P18" i="4"/>
  <c r="O18" i="4"/>
  <c r="N18" i="4"/>
  <c r="M18" i="4"/>
  <c r="L18" i="4"/>
  <c r="K18" i="4"/>
  <c r="G18" i="4"/>
  <c r="E18" i="4"/>
  <c r="D18" i="4"/>
  <c r="C18" i="4"/>
</calcChain>
</file>

<file path=xl/sharedStrings.xml><?xml version="1.0" encoding="utf-8"?>
<sst xmlns="http://schemas.openxmlformats.org/spreadsheetml/2006/main" count="26" uniqueCount="24">
  <si>
    <t>MONTH</t>
  </si>
  <si>
    <t>AIRCRAFT FLOWN</t>
  </si>
  <si>
    <t xml:space="preserve">    PASSENGERS</t>
  </si>
  <si>
    <t>AVAILABLE SEAT KILOMETERS (MILLION)</t>
  </si>
  <si>
    <t xml:space="preserve"> PAX. LOAD FACTOR (%)</t>
  </si>
  <si>
    <t xml:space="preserve"> CARGO CARRIED (TON)</t>
  </si>
  <si>
    <t xml:space="preserve">    TON  KMS. PERFORMED (MILLION)</t>
  </si>
  <si>
    <t>AVAILABLE TONNE KILOMETERS (MILLION)</t>
  </si>
  <si>
    <t xml:space="preserve"> WEIGHT LOAD FACTOR (%)</t>
  </si>
  <si>
    <t>DEPARTURES (NOS.)</t>
  </si>
  <si>
    <t>HOURS (NOS.)</t>
  </si>
  <si>
    <t xml:space="preserve">  KMS. (THOUSANDS)</t>
  </si>
  <si>
    <t>CARRIED (NOS.)</t>
  </si>
  <si>
    <t>KMS.PERFORMED (MILLION)</t>
  </si>
  <si>
    <t xml:space="preserve"> FREIGHT </t>
  </si>
  <si>
    <t xml:space="preserve"> MAIL</t>
  </si>
  <si>
    <t xml:space="preserve"> TOTAL</t>
  </si>
  <si>
    <t xml:space="preserve"> PAX.</t>
  </si>
  <si>
    <t>FREIGHT</t>
  </si>
  <si>
    <t>2018-19</t>
  </si>
  <si>
    <t xml:space="preserve">तालिका - 1.02 (इंडिगो) </t>
  </si>
  <si>
    <t>Table 1.02 (INDIGO)</t>
  </si>
  <si>
    <t>SOURCE:-  ICAO ATR FORM 'A' FURNISHED BY INDIGO</t>
  </si>
  <si>
    <t>MONTHLY TRAFFIC AND OPERATING STATISTICS OF INDIGO ON SCHEDULED INTERNATIONAL SERVICES DURING 2018-19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</si>
</sst>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3" formatCode="_(* #,##0.00_);_(* \(#,##0.00\);_(* &quot;-&quot;??_);_(@_)"/>
    <numFmt numFmtId="164" formatCode="_(* #,##0_);_(* \(#,##0\);_(* &quot;-&quot;??_);_(@_)"/>
    <numFmt numFmtId="165" formatCode="_(* #,##0.0_);_(* \(#,##0.0\);_(* &quot;-&quot;??_);_(@_)"/>
    <numFmt numFmtId="166" formatCode="0.0"/>
  </numFmts>
  <fonts count="7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43" fontId="3" fillId="0" borderId="0" applyFont="0" applyFill="0" applyBorder="0" applyAlignment="0" applyProtection="0"/>
    <xf numFmtId="0" fontId="4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</cellStyleXfs>
  <cellXfs count="22">
    <xf numFmtId="0" fontId="0" fillId="0" borderId="0" xfId="0"/>
    <xf numFmtId="17" fontId="2" fillId="2" borderId="1" xfId="0" applyNumberFormat="1" applyFont="1" applyFill="1" applyBorder="1" applyAlignment="1" applyProtection="1">
      <alignment horizontal="center" vertical="center" wrapText="1"/>
    </xf>
    <xf numFmtId="164" fontId="5" fillId="0" borderId="1" xfId="1" applyNumberFormat="1" applyFont="1" applyFill="1" applyBorder="1" applyAlignment="1">
      <alignment horizontal="right" vertical="center"/>
    </xf>
    <xf numFmtId="165" fontId="5" fillId="0" borderId="1" xfId="1" applyNumberFormat="1" applyFont="1" applyFill="1" applyBorder="1" applyAlignment="1">
      <alignment horizontal="right" vertical="center"/>
    </xf>
    <xf numFmtId="0" fontId="4" fillId="3" borderId="1" xfId="2" applyBorder="1" applyAlignment="1" applyProtection="1">
      <alignment horizontal="center" vertical="center" textRotation="90" wrapText="1"/>
    </xf>
    <xf numFmtId="17" fontId="3" fillId="5" borderId="1" xfId="4" applyNumberFormat="1" applyBorder="1" applyAlignment="1" applyProtection="1">
      <alignment horizontal="center" vertical="center" wrapText="1"/>
    </xf>
    <xf numFmtId="164" fontId="3" fillId="5" borderId="1" xfId="4" applyNumberFormat="1" applyBorder="1" applyAlignment="1">
      <alignment horizontal="right" vertical="center"/>
    </xf>
    <xf numFmtId="165" fontId="3" fillId="5" borderId="1" xfId="4" applyNumberFormat="1" applyBorder="1" applyAlignment="1">
      <alignment horizontal="right" vertical="center"/>
    </xf>
    <xf numFmtId="166" fontId="3" fillId="4" borderId="1" xfId="3" applyNumberFormat="1" applyBorder="1" applyAlignment="1" applyProtection="1">
      <alignment horizontal="center" vertical="center" wrapText="1"/>
    </xf>
    <xf numFmtId="166" fontId="6" fillId="4" borderId="1" xfId="3" applyNumberFormat="1" applyFont="1" applyBorder="1" applyAlignment="1" applyProtection="1">
      <alignment horizontal="center" vertical="center" wrapText="1"/>
    </xf>
    <xf numFmtId="0" fontId="6" fillId="5" borderId="1" xfId="4" applyFont="1" applyBorder="1" applyAlignment="1" applyProtection="1">
      <alignment horizontal="center" vertical="center" wrapText="1"/>
    </xf>
    <xf numFmtId="164" fontId="6" fillId="5" borderId="1" xfId="4" applyNumberFormat="1" applyFont="1" applyBorder="1" applyAlignment="1" applyProtection="1">
      <alignment horizontal="right" vertical="center" wrapText="1"/>
    </xf>
    <xf numFmtId="165" fontId="6" fillId="5" borderId="1" xfId="4" applyNumberFormat="1" applyFont="1" applyBorder="1" applyAlignment="1" applyProtection="1">
      <alignment horizontal="right" vertical="center" wrapText="1"/>
    </xf>
    <xf numFmtId="0" fontId="4" fillId="3" borderId="1" xfId="2" applyBorder="1" applyAlignment="1" applyProtection="1">
      <alignment horizontal="center" vertical="center" textRotation="90" wrapText="1"/>
    </xf>
    <xf numFmtId="0" fontId="4" fillId="3" borderId="1" xfId="2" applyBorder="1" applyAlignment="1">
      <alignment textRotation="90"/>
    </xf>
    <xf numFmtId="0" fontId="1" fillId="2" borderId="1" xfId="0" applyFont="1" applyFill="1" applyBorder="1" applyAlignment="1" applyProtection="1">
      <alignment horizontal="left" vertical="center" wrapText="1"/>
    </xf>
    <xf numFmtId="0" fontId="0" fillId="5" borderId="1" xfId="4" applyFont="1" applyBorder="1" applyAlignment="1">
      <alignment horizontal="center" vertical="center" wrapText="1"/>
    </xf>
    <xf numFmtId="0" fontId="3" fillId="5" borderId="1" xfId="4" applyBorder="1" applyAlignment="1">
      <alignment horizontal="center" vertical="center" wrapText="1"/>
    </xf>
    <xf numFmtId="0" fontId="0" fillId="5" borderId="1" xfId="4" quotePrefix="1" applyFont="1" applyBorder="1" applyAlignment="1" applyProtection="1">
      <alignment horizontal="center" vertical="center" wrapText="1"/>
    </xf>
    <xf numFmtId="0" fontId="3" fillId="5" borderId="1" xfId="4" applyBorder="1"/>
    <xf numFmtId="0" fontId="4" fillId="3" borderId="1" xfId="2" applyBorder="1" applyAlignment="1" applyProtection="1">
      <alignment horizontal="center" vertical="center" wrapText="1"/>
    </xf>
    <xf numFmtId="0" fontId="4" fillId="3" borderId="1" xfId="2" applyBorder="1"/>
  </cellXfs>
  <cellStyles count="5">
    <cellStyle name="20% - Accent6" xfId="3" builtinId="50"/>
    <cellStyle name="40% - Accent6" xfId="4" builtinId="51"/>
    <cellStyle name="Accent6" xfId="2" builtinId="49"/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19"/>
  <sheetViews>
    <sheetView tabSelected="1" workbookViewId="0">
      <selection activeCell="Q18" sqref="Q18"/>
    </sheetView>
  </sheetViews>
  <sheetFormatPr defaultRowHeight="14.4" x14ac:dyDescent="0.3"/>
  <cols>
    <col min="1" max="1" width="7.88671875" customWidth="1"/>
    <col min="2" max="2" width="7.33203125" customWidth="1"/>
    <col min="3" max="3" width="8.44140625" bestFit="1" customWidth="1"/>
    <col min="4" max="4" width="7.44140625" customWidth="1"/>
    <col min="5" max="5" width="10" bestFit="1" customWidth="1"/>
    <col min="6" max="6" width="7.44140625" customWidth="1"/>
    <col min="7" max="7" width="7.5546875" customWidth="1"/>
    <col min="8" max="8" width="6.88671875" customWidth="1"/>
    <col min="10" max="10" width="4.88671875" customWidth="1"/>
    <col min="11" max="11" width="9" customWidth="1"/>
    <col min="12" max="12" width="7.88671875" customWidth="1"/>
    <col min="13" max="13" width="5.33203125" customWidth="1"/>
    <col min="14" max="14" width="6.109375" customWidth="1"/>
    <col min="15" max="15" width="8" customWidth="1"/>
    <col min="17" max="17" width="6" customWidth="1"/>
  </cols>
  <sheetData>
    <row r="1" spans="1:17" ht="15" customHeight="1" x14ac:dyDescent="0.3">
      <c r="A1" s="16" t="s">
        <v>20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</row>
    <row r="2" spans="1:17" ht="15" customHeight="1" x14ac:dyDescent="0.3">
      <c r="A2" s="18" t="s">
        <v>21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</row>
    <row r="3" spans="1:17" ht="15" customHeight="1" x14ac:dyDescent="0.3">
      <c r="A3" s="20" t="s">
        <v>23</v>
      </c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</row>
    <row r="4" spans="1:17" ht="30.6" customHeight="1" x14ac:dyDescent="0.3">
      <c r="A4" s="20" t="s">
        <v>0</v>
      </c>
      <c r="B4" s="20" t="s">
        <v>1</v>
      </c>
      <c r="C4" s="20"/>
      <c r="D4" s="20"/>
      <c r="E4" s="20" t="s">
        <v>2</v>
      </c>
      <c r="F4" s="21"/>
      <c r="G4" s="13" t="s">
        <v>3</v>
      </c>
      <c r="H4" s="13" t="s">
        <v>4</v>
      </c>
      <c r="I4" s="20" t="s">
        <v>5</v>
      </c>
      <c r="J4" s="20"/>
      <c r="K4" s="20"/>
      <c r="L4" s="20" t="s">
        <v>6</v>
      </c>
      <c r="M4" s="20"/>
      <c r="N4" s="20"/>
      <c r="O4" s="20"/>
      <c r="P4" s="13" t="s">
        <v>7</v>
      </c>
      <c r="Q4" s="13" t="s">
        <v>8</v>
      </c>
    </row>
    <row r="5" spans="1:17" ht="101.25" customHeight="1" x14ac:dyDescent="0.3">
      <c r="A5" s="20"/>
      <c r="B5" s="4" t="s">
        <v>9</v>
      </c>
      <c r="C5" s="4" t="s">
        <v>10</v>
      </c>
      <c r="D5" s="4" t="s">
        <v>11</v>
      </c>
      <c r="E5" s="4" t="s">
        <v>12</v>
      </c>
      <c r="F5" s="4" t="s">
        <v>13</v>
      </c>
      <c r="G5" s="14"/>
      <c r="H5" s="14"/>
      <c r="I5" s="4" t="s">
        <v>14</v>
      </c>
      <c r="J5" s="4" t="s">
        <v>15</v>
      </c>
      <c r="K5" s="4" t="s">
        <v>16</v>
      </c>
      <c r="L5" s="4" t="s">
        <v>17</v>
      </c>
      <c r="M5" s="4" t="s">
        <v>18</v>
      </c>
      <c r="N5" s="4" t="s">
        <v>15</v>
      </c>
      <c r="O5" s="4" t="s">
        <v>16</v>
      </c>
      <c r="P5" s="14"/>
      <c r="Q5" s="14"/>
    </row>
    <row r="6" spans="1:17" x14ac:dyDescent="0.3">
      <c r="A6" s="5">
        <v>43191</v>
      </c>
      <c r="B6" s="6">
        <v>2104</v>
      </c>
      <c r="C6" s="6">
        <v>7403.7330000000002</v>
      </c>
      <c r="D6" s="6">
        <v>4895.3999999999996</v>
      </c>
      <c r="E6" s="6">
        <v>318828</v>
      </c>
      <c r="F6" s="6">
        <v>750.37</v>
      </c>
      <c r="G6" s="6">
        <v>881.15300000000002</v>
      </c>
      <c r="H6" s="8">
        <f>F6/G6*100</f>
        <v>85.157742185522835</v>
      </c>
      <c r="I6" s="7">
        <v>2090</v>
      </c>
      <c r="J6" s="7">
        <v>0</v>
      </c>
      <c r="K6" s="7">
        <v>2090</v>
      </c>
      <c r="L6" s="7">
        <v>67.533199999999994</v>
      </c>
      <c r="M6" s="7">
        <v>5.1823999999999995</v>
      </c>
      <c r="N6" s="7">
        <v>0</v>
      </c>
      <c r="O6" s="7">
        <v>72.715599999999995</v>
      </c>
      <c r="P6" s="7">
        <v>99.1952</v>
      </c>
      <c r="Q6" s="8">
        <f>O6/P6*100</f>
        <v>73.305563172411553</v>
      </c>
    </row>
    <row r="7" spans="1:17" x14ac:dyDescent="0.3">
      <c r="A7" s="1">
        <v>43221</v>
      </c>
      <c r="B7" s="2">
        <v>2232</v>
      </c>
      <c r="C7" s="2">
        <v>7869.4665999999997</v>
      </c>
      <c r="D7" s="2">
        <v>5211.6000000000004</v>
      </c>
      <c r="E7" s="2">
        <v>334042</v>
      </c>
      <c r="F7" s="2">
        <v>782.01199999999994</v>
      </c>
      <c r="G7" s="2">
        <v>938.029</v>
      </c>
      <c r="H7" s="8">
        <f t="shared" ref="H7:H18" si="0">F7/G7*100</f>
        <v>83.367571791490448</v>
      </c>
      <c r="I7" s="3">
        <v>2042.4</v>
      </c>
      <c r="J7" s="3">
        <v>0</v>
      </c>
      <c r="K7" s="3">
        <v>2042.4</v>
      </c>
      <c r="L7" s="3">
        <v>70.381</v>
      </c>
      <c r="M7" s="3">
        <v>5.0738000000000003</v>
      </c>
      <c r="N7" s="3">
        <v>0</v>
      </c>
      <c r="O7" s="3">
        <v>75.454800000000006</v>
      </c>
      <c r="P7" s="3">
        <v>105.3959</v>
      </c>
      <c r="Q7" s="8">
        <f t="shared" ref="Q7:Q18" si="1">O7/P7*100</f>
        <v>71.591779186856414</v>
      </c>
    </row>
    <row r="8" spans="1:17" x14ac:dyDescent="0.3">
      <c r="A8" s="5">
        <v>43252</v>
      </c>
      <c r="B8" s="6">
        <v>2158</v>
      </c>
      <c r="C8" s="6">
        <v>7565.1</v>
      </c>
      <c r="D8" s="6">
        <v>5030.3</v>
      </c>
      <c r="E8" s="6">
        <v>318327</v>
      </c>
      <c r="F8" s="6">
        <v>743.31</v>
      </c>
      <c r="G8" s="6">
        <v>905.447</v>
      </c>
      <c r="H8" s="8">
        <f t="shared" si="0"/>
        <v>82.093153989134635</v>
      </c>
      <c r="I8" s="7">
        <v>1337.12</v>
      </c>
      <c r="J8" s="7">
        <v>0</v>
      </c>
      <c r="K8" s="7">
        <v>1337.12</v>
      </c>
      <c r="L8" s="7">
        <v>66.898300000000006</v>
      </c>
      <c r="M8" s="7">
        <v>3.2170000000000001</v>
      </c>
      <c r="N8" s="7">
        <v>0</v>
      </c>
      <c r="O8" s="7">
        <v>70.115300000000005</v>
      </c>
      <c r="P8" s="7">
        <v>101.7269</v>
      </c>
      <c r="Q8" s="8">
        <f t="shared" si="1"/>
        <v>68.925033594850532</v>
      </c>
    </row>
    <row r="9" spans="1:17" x14ac:dyDescent="0.3">
      <c r="A9" s="1">
        <v>43282</v>
      </c>
      <c r="B9" s="2">
        <v>2232</v>
      </c>
      <c r="C9" s="2">
        <v>7809.9</v>
      </c>
      <c r="D9" s="2">
        <v>5197.91</v>
      </c>
      <c r="E9" s="2">
        <v>343262</v>
      </c>
      <c r="F9" s="2">
        <v>804.13900000000001</v>
      </c>
      <c r="G9" s="2">
        <v>935.61500000000001</v>
      </c>
      <c r="H9" s="8">
        <f t="shared" si="0"/>
        <v>85.947638718917503</v>
      </c>
      <c r="I9" s="3">
        <v>1702.0029999999999</v>
      </c>
      <c r="J9" s="3">
        <v>0</v>
      </c>
      <c r="K9" s="3">
        <v>1702.0029999999999</v>
      </c>
      <c r="L9" s="3">
        <v>72.372362999999993</v>
      </c>
      <c r="M9" s="3">
        <v>4.1898710000000001</v>
      </c>
      <c r="N9" s="3">
        <v>0</v>
      </c>
      <c r="O9" s="3">
        <v>76.562234000000004</v>
      </c>
      <c r="P9" s="3">
        <v>105.09930899999999</v>
      </c>
      <c r="Q9" s="8">
        <f t="shared" si="1"/>
        <v>72.847514154446074</v>
      </c>
    </row>
    <row r="10" spans="1:17" x14ac:dyDescent="0.3">
      <c r="A10" s="5">
        <v>43313</v>
      </c>
      <c r="B10" s="6">
        <v>2153</v>
      </c>
      <c r="C10" s="6">
        <v>7321.2</v>
      </c>
      <c r="D10" s="6">
        <v>4829.18</v>
      </c>
      <c r="E10" s="6">
        <v>334780</v>
      </c>
      <c r="F10" s="6">
        <v>754.06500000000005</v>
      </c>
      <c r="G10" s="6">
        <v>869.23900000000003</v>
      </c>
      <c r="H10" s="8">
        <f t="shared" si="0"/>
        <v>86.750019269729037</v>
      </c>
      <c r="I10" s="7">
        <v>1849.13</v>
      </c>
      <c r="J10" s="7">
        <v>0</v>
      </c>
      <c r="K10" s="7">
        <v>1849.13</v>
      </c>
      <c r="L10" s="7">
        <v>67.865690000000001</v>
      </c>
      <c r="M10" s="7">
        <v>4.5836000000000006</v>
      </c>
      <c r="N10" s="7">
        <v>0</v>
      </c>
      <c r="O10" s="7">
        <v>72.449290000000005</v>
      </c>
      <c r="P10" s="7">
        <v>97.501229999999993</v>
      </c>
      <c r="Q10" s="8">
        <f t="shared" si="1"/>
        <v>74.306026703458002</v>
      </c>
    </row>
    <row r="11" spans="1:17" x14ac:dyDescent="0.3">
      <c r="A11" s="1">
        <v>43344</v>
      </c>
      <c r="B11" s="2">
        <v>2223</v>
      </c>
      <c r="C11" s="2">
        <v>7665.75</v>
      </c>
      <c r="D11" s="2">
        <v>5074.241</v>
      </c>
      <c r="E11" s="2">
        <v>318893</v>
      </c>
      <c r="F11" s="2">
        <v>720.50199999999995</v>
      </c>
      <c r="G11" s="2">
        <v>913.351</v>
      </c>
      <c r="H11" s="8">
        <f t="shared" si="0"/>
        <v>78.885554403509701</v>
      </c>
      <c r="I11" s="3">
        <v>1907.3420000000001</v>
      </c>
      <c r="J11" s="3">
        <v>0</v>
      </c>
      <c r="K11" s="3">
        <v>1907.3420000000001</v>
      </c>
      <c r="L11" s="3">
        <v>64.845170499999995</v>
      </c>
      <c r="M11" s="3">
        <v>4.8301951000000001</v>
      </c>
      <c r="N11" s="3">
        <v>0</v>
      </c>
      <c r="O11" s="3">
        <v>69.675365600000006</v>
      </c>
      <c r="P11" s="3">
        <v>102.5472996</v>
      </c>
      <c r="Q11" s="8">
        <f t="shared" si="1"/>
        <v>67.944612751167952</v>
      </c>
    </row>
    <row r="12" spans="1:17" x14ac:dyDescent="0.3">
      <c r="A12" s="5">
        <v>43374</v>
      </c>
      <c r="B12" s="6">
        <v>2586</v>
      </c>
      <c r="C12" s="6">
        <v>9179.85</v>
      </c>
      <c r="D12" s="6">
        <v>6074.1229999999996</v>
      </c>
      <c r="E12" s="6">
        <v>375292</v>
      </c>
      <c r="F12" s="6">
        <v>882.71199999999999</v>
      </c>
      <c r="G12" s="6">
        <v>1093.2919999999999</v>
      </c>
      <c r="H12" s="8">
        <f t="shared" si="0"/>
        <v>80.738905983031074</v>
      </c>
      <c r="I12" s="7">
        <v>2174.2199999999998</v>
      </c>
      <c r="J12" s="7">
        <v>0</v>
      </c>
      <c r="K12" s="7">
        <v>2174.2199999999998</v>
      </c>
      <c r="L12" s="7">
        <v>79.444320000000005</v>
      </c>
      <c r="M12" s="7">
        <v>5.5697999999999999</v>
      </c>
      <c r="N12" s="7">
        <v>0</v>
      </c>
      <c r="O12" s="7">
        <v>85.014120000000005</v>
      </c>
      <c r="P12" s="7">
        <v>122.95107</v>
      </c>
      <c r="Q12" s="8">
        <f t="shared" si="1"/>
        <v>69.144676821437997</v>
      </c>
    </row>
    <row r="13" spans="1:17" x14ac:dyDescent="0.3">
      <c r="A13" s="1">
        <v>43405</v>
      </c>
      <c r="B13" s="2">
        <v>2849</v>
      </c>
      <c r="C13" s="2">
        <v>10280.1333</v>
      </c>
      <c r="D13" s="2">
        <v>6772.4570000000003</v>
      </c>
      <c r="E13" s="2">
        <v>423414</v>
      </c>
      <c r="F13" s="2">
        <v>1010.511</v>
      </c>
      <c r="G13" s="2">
        <v>1218.8150000000001</v>
      </c>
      <c r="H13" s="8">
        <f t="shared" si="0"/>
        <v>82.909301247523203</v>
      </c>
      <c r="I13" s="3">
        <v>1777.373</v>
      </c>
      <c r="J13" s="3">
        <v>0</v>
      </c>
      <c r="K13" s="3">
        <v>1777.373</v>
      </c>
      <c r="L13" s="3">
        <v>90.945785000000001</v>
      </c>
      <c r="M13" s="3">
        <v>4.5352920000000001</v>
      </c>
      <c r="N13" s="3">
        <v>0</v>
      </c>
      <c r="O13" s="3">
        <v>95.481076999999999</v>
      </c>
      <c r="P13" s="3">
        <v>139.87530900000002</v>
      </c>
      <c r="Q13" s="8">
        <f t="shared" si="1"/>
        <v>68.261566449872859</v>
      </c>
    </row>
    <row r="14" spans="1:17" x14ac:dyDescent="0.3">
      <c r="A14" s="5">
        <v>43435</v>
      </c>
      <c r="B14" s="6">
        <v>3220</v>
      </c>
      <c r="C14" s="6">
        <v>11709.78333</v>
      </c>
      <c r="D14" s="6">
        <v>7715.8090000000002</v>
      </c>
      <c r="E14" s="6">
        <v>493132</v>
      </c>
      <c r="F14" s="6">
        <v>1193.0229999999999</v>
      </c>
      <c r="G14" s="6">
        <v>1390.819</v>
      </c>
      <c r="H14" s="8">
        <f t="shared" si="0"/>
        <v>85.778451401656142</v>
      </c>
      <c r="I14" s="7">
        <v>2329.5500000000002</v>
      </c>
      <c r="J14" s="7">
        <v>0</v>
      </c>
      <c r="K14" s="7">
        <v>2329.5500000000002</v>
      </c>
      <c r="L14" s="7">
        <v>107.37198050000001</v>
      </c>
      <c r="M14" s="7">
        <v>5.8196062</v>
      </c>
      <c r="N14" s="7">
        <v>0</v>
      </c>
      <c r="O14" s="7">
        <v>113.1915867</v>
      </c>
      <c r="P14" s="7">
        <v>159.39784710000001</v>
      </c>
      <c r="Q14" s="8">
        <f t="shared" si="1"/>
        <v>71.011992168870393</v>
      </c>
    </row>
    <row r="15" spans="1:17" x14ac:dyDescent="0.3">
      <c r="A15" s="1">
        <v>43466</v>
      </c>
      <c r="B15" s="2">
        <v>3326</v>
      </c>
      <c r="C15" s="2">
        <v>12163.566000000001</v>
      </c>
      <c r="D15" s="2">
        <v>7971.7359999999999</v>
      </c>
      <c r="E15" s="2">
        <v>498170</v>
      </c>
      <c r="F15" s="2">
        <v>1199.655</v>
      </c>
      <c r="G15" s="2">
        <v>1437.827</v>
      </c>
      <c r="H15" s="8">
        <f t="shared" si="0"/>
        <v>83.435281156912481</v>
      </c>
      <c r="I15" s="3">
        <v>2462</v>
      </c>
      <c r="J15" s="3">
        <v>0</v>
      </c>
      <c r="K15" s="3">
        <v>2462</v>
      </c>
      <c r="L15" s="3">
        <v>107.96925</v>
      </c>
      <c r="M15" s="3">
        <v>6.3007900000000001</v>
      </c>
      <c r="N15" s="3">
        <v>0</v>
      </c>
      <c r="O15" s="3">
        <v>114.27003999999999</v>
      </c>
      <c r="P15" s="3">
        <v>161.40234000000001</v>
      </c>
      <c r="Q15" s="8">
        <f t="shared" si="1"/>
        <v>70.79825484562366</v>
      </c>
    </row>
    <row r="16" spans="1:17" x14ac:dyDescent="0.3">
      <c r="A16" s="5">
        <v>43497</v>
      </c>
      <c r="B16" s="6">
        <v>2987</v>
      </c>
      <c r="C16" s="6">
        <v>10964.8</v>
      </c>
      <c r="D16" s="6">
        <v>7172.415</v>
      </c>
      <c r="E16" s="6">
        <v>438099</v>
      </c>
      <c r="F16" s="6">
        <v>1048.3879999999999</v>
      </c>
      <c r="G16" s="6">
        <v>1293.7729999999999</v>
      </c>
      <c r="H16" s="8">
        <f t="shared" si="0"/>
        <v>81.033380662604642</v>
      </c>
      <c r="I16" s="7">
        <v>2411.152</v>
      </c>
      <c r="J16" s="7">
        <v>0</v>
      </c>
      <c r="K16" s="7">
        <v>2411.152</v>
      </c>
      <c r="L16" s="7">
        <v>94.354921000000004</v>
      </c>
      <c r="M16" s="7">
        <v>5.9775770000000001</v>
      </c>
      <c r="N16" s="7">
        <v>0</v>
      </c>
      <c r="O16" s="7">
        <v>100.332498</v>
      </c>
      <c r="P16" s="7">
        <v>145.03623800000003</v>
      </c>
      <c r="Q16" s="8">
        <f t="shared" si="1"/>
        <v>69.177537547547246</v>
      </c>
    </row>
    <row r="17" spans="1:17" x14ac:dyDescent="0.3">
      <c r="A17" s="1">
        <v>43525</v>
      </c>
      <c r="B17" s="2">
        <v>3415</v>
      </c>
      <c r="C17" s="2">
        <v>13067.85</v>
      </c>
      <c r="D17" s="2">
        <v>8279.0290000000005</v>
      </c>
      <c r="E17" s="2">
        <v>508534</v>
      </c>
      <c r="F17" s="2">
        <v>1234.050639</v>
      </c>
      <c r="G17" s="2">
        <v>1507.5054879999998</v>
      </c>
      <c r="H17" s="8">
        <f t="shared" si="0"/>
        <v>81.860440895456307</v>
      </c>
      <c r="I17" s="3">
        <v>2846.1129999999998</v>
      </c>
      <c r="J17" s="3">
        <v>0</v>
      </c>
      <c r="K17" s="3">
        <v>2846.1129999999998</v>
      </c>
      <c r="L17" s="3">
        <v>110.655545</v>
      </c>
      <c r="M17" s="3">
        <v>6.9357230000000003</v>
      </c>
      <c r="N17" s="3">
        <v>0</v>
      </c>
      <c r="O17" s="3">
        <v>117.591268</v>
      </c>
      <c r="P17" s="3">
        <v>167.44262400000002</v>
      </c>
      <c r="Q17" s="8">
        <f t="shared" si="1"/>
        <v>70.227798150129317</v>
      </c>
    </row>
    <row r="18" spans="1:17" x14ac:dyDescent="0.3">
      <c r="A18" s="10" t="s">
        <v>19</v>
      </c>
      <c r="B18" s="11">
        <f>SUM(B6:B17)</f>
        <v>31485</v>
      </c>
      <c r="C18" s="11">
        <f t="shared" ref="C18:P18" si="2">SUM(C6:C17)</f>
        <v>113001.13223000002</v>
      </c>
      <c r="D18" s="11">
        <f t="shared" si="2"/>
        <v>74224.2</v>
      </c>
      <c r="E18" s="11">
        <f t="shared" si="2"/>
        <v>4704773</v>
      </c>
      <c r="F18" s="11">
        <f t="shared" si="2"/>
        <v>11122.737639000003</v>
      </c>
      <c r="G18" s="11">
        <f t="shared" si="2"/>
        <v>13384.865487999999</v>
      </c>
      <c r="H18" s="9">
        <f t="shared" si="0"/>
        <v>83.099360609726901</v>
      </c>
      <c r="I18" s="12">
        <f t="shared" si="2"/>
        <v>24928.403000000002</v>
      </c>
      <c r="J18" s="12">
        <f t="shared" si="2"/>
        <v>0</v>
      </c>
      <c r="K18" s="12">
        <f t="shared" si="2"/>
        <v>24928.403000000002</v>
      </c>
      <c r="L18" s="12">
        <f t="shared" si="2"/>
        <v>1000.637525</v>
      </c>
      <c r="M18" s="12">
        <f t="shared" si="2"/>
        <v>62.215654300000004</v>
      </c>
      <c r="N18" s="12">
        <f t="shared" si="2"/>
        <v>0</v>
      </c>
      <c r="O18" s="12">
        <f t="shared" si="2"/>
        <v>1062.8531793</v>
      </c>
      <c r="P18" s="12">
        <f t="shared" si="2"/>
        <v>1507.5712667</v>
      </c>
      <c r="Q18" s="9">
        <f t="shared" si="1"/>
        <v>70.501023916868206</v>
      </c>
    </row>
    <row r="19" spans="1:17" ht="15" customHeight="1" x14ac:dyDescent="0.3">
      <c r="A19" s="15" t="s">
        <v>22</v>
      </c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</row>
  </sheetData>
  <mergeCells count="13">
    <mergeCell ref="P4:P5"/>
    <mergeCell ref="Q4:Q5"/>
    <mergeCell ref="A19:Q19"/>
    <mergeCell ref="A1:Q1"/>
    <mergeCell ref="A2:Q2"/>
    <mergeCell ref="A3:Q3"/>
    <mergeCell ref="A4:A5"/>
    <mergeCell ref="B4:D4"/>
    <mergeCell ref="E4:F4"/>
    <mergeCell ref="G4:G5"/>
    <mergeCell ref="H4:H5"/>
    <mergeCell ref="I4:K4"/>
    <mergeCell ref="L4:O4"/>
  </mergeCells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INDIGO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acer</cp:lastModifiedBy>
  <cp:lastPrinted>2020-06-11T07:57:17Z</cp:lastPrinted>
  <dcterms:created xsi:type="dcterms:W3CDTF">2018-10-29T04:00:09Z</dcterms:created>
  <dcterms:modified xsi:type="dcterms:W3CDTF">2020-06-11T07:57:34Z</dcterms:modified>
</cp:coreProperties>
</file>