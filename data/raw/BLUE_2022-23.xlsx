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December 2022\pdf &amp; excel november\Excel December 2022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[1]Interface!$AT$7:$AT$34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F73" i="2"/>
  <c r="H73" i="2" s="1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O54" i="2" s="1"/>
  <c r="Q54" i="2" s="1"/>
  <c r="M54" i="2"/>
  <c r="L54" i="2"/>
  <c r="J54" i="2"/>
  <c r="K54" i="2" s="1"/>
  <c r="I54" i="2"/>
  <c r="G54" i="2"/>
  <c r="F54" i="2"/>
  <c r="H54" i="2" s="1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O35" i="2" s="1"/>
  <c r="Q35" i="2" s="1"/>
  <c r="M35" i="2"/>
  <c r="L35" i="2"/>
  <c r="J35" i="2"/>
  <c r="K35" i="2" s="1"/>
  <c r="I35" i="2"/>
  <c r="G35" i="2"/>
  <c r="F35" i="2"/>
  <c r="H35" i="2" s="1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O16" i="2" s="1"/>
  <c r="Q16" i="2" s="1"/>
  <c r="M16" i="2"/>
  <c r="L16" i="2"/>
  <c r="J16" i="2"/>
  <c r="K16" i="2" s="1"/>
  <c r="I16" i="2"/>
  <c r="G16" i="2"/>
  <c r="F16" i="2"/>
  <c r="H16" i="2" s="1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<sst xmlns="http://schemas.openxmlformats.org/spreadsheetml/2006/main" count="153" uniqueCount="42">
  <si>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r>
      <t xml:space="preserve">Monthly Traffic And Operating Statistics (Provisional)
 </t>
    </r>
    <r>
      <rPr>
        <b/>
        <sz val="16"/>
        <color indexed="8"/>
        <rFont val="Cambria"/>
        <family val="1"/>
      </rPr>
      <t>( Scheduled Domestic Services)</t>
    </r>
  </si>
  <si>
    <t>BLUEDART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</si>
  <si>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</si>
  <si>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</si>
  <si>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</si>
  <si>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</si>
  <si>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</si>
  <si>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</si>
  <si>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</si>
  <si>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</si>
  <si>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</si>
  <si>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</si>
  <si>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</si>
  <si>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</si>
  <si>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</si>
  <si>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</si>
  <si>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</si>
  <si>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</si>
  <si>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</si>
  <si>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</si>
  <si>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</si>
  <si>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</si>
  <si>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</si>
  <si>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</si>
  <si>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</si>
  <si>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</si>
  <si>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</si>
  <si>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</si>
  <si>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</si>
  <si>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</si>
  <si>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</si>
  <si>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</si>
  <si>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</si>
  <si>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</si>
  <si>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</si>
  <si>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BLUEDART</t>
  </si>
  <si>
    <t>NOTE:- # PAX LOAD FACTOR = (PAX KM PERFORMED/AVAILABLE SEAT KMS)*100</t>
  </si>
  <si>
    <t xml:space="preserve">          # # WEIGHT LOAD FACTOR = (TONNE KMS PERFORMED/ AVAILABLE TONNE KMS)*100</t>
  </si>
  <si>
    <r>
      <rPr>
        <b/>
        <sz val="13"/>
        <color indexed="8"/>
        <rFont val="Cambria"/>
        <family val="1"/>
      </rPr>
      <t>Monthly Traffic And Operating Statistics</t>
    </r>
    <r>
      <rPr>
        <b/>
        <sz val="13"/>
        <color indexed="8"/>
        <rFont val="Cambria"/>
        <family val="1"/>
      </rPr>
      <t xml:space="preserve"> (Provisional)</t>
    </r>
    <r>
      <rPr>
        <b/>
        <sz val="12"/>
        <color indexed="8"/>
        <rFont val="Cambria"/>
        <family val="1"/>
      </rPr>
      <t xml:space="preserve">
 </t>
    </r>
    <r>
      <rPr>
        <b/>
        <sz val="16"/>
        <color indexed="8"/>
        <rFont val="Cambria"/>
        <family val="1"/>
      </rPr>
      <t>( Scheduled International 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</si>
  <si>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Domestic Services)</t>
    </r>
  </si>
  <si>
    <r>
      <rPr>
        <b/>
        <sz val="13"/>
        <rFont val="Cambria"/>
        <family val="1"/>
      </rPr>
      <t>Monthly Traffic And Operating Statistics (Provisional)</t>
    </r>
    <r>
      <rPr>
        <b/>
        <sz val="12"/>
        <rFont val="Cambria"/>
        <family val="1"/>
      </rPr>
      <t xml:space="preserve">
</t>
    </r>
    <r>
      <rPr>
        <b/>
        <sz val="16"/>
        <rFont val="Cambria"/>
        <family val="1"/>
      </rPr>
      <t xml:space="preserve"> (Non- Scheduled International Services)</t>
    </r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</si>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</sst>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22" x14ac:knownFonts="1">
    <font>
      <sz val="11"/>
      <color theme="1"/>
      <name val="Calibri"/>
      <family val="2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b/>
      <sz val="11"/>
      <color indexed="8"/>
      <name val="Cambria"/>
      <family val="1"/>
    </font>
    <font>
      <b/>
      <sz val="16"/>
      <color indexed="8"/>
      <name val="Cambria"/>
      <family val="1"/>
    </font>
    <font>
      <sz val="14"/>
      <name val="Calibri Light"/>
      <family val="1"/>
      <scheme val="major"/>
    </font>
    <font>
      <b/>
      <sz val="11"/>
      <color theme="0" tint="-4.9989318521683403E-2"/>
      <name val="Calibri Light"/>
      <family val="1"/>
      <scheme val="major"/>
    </font>
    <font>
      <sz val="1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theme="0" tint="-4.9989318521683403E-2"/>
      <name val="Calibri Light"/>
      <family val="1"/>
      <scheme val="major"/>
    </font>
    <font>
      <sz val="12"/>
      <color theme="0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Calibri Light"/>
      <family val="1"/>
      <scheme val="major"/>
    </font>
    <font>
      <b/>
      <sz val="13"/>
      <color indexed="8"/>
      <name val="Cambria"/>
      <family val="1"/>
    </font>
    <font>
      <b/>
      <sz val="12"/>
      <color indexed="8"/>
      <name val="Cambria"/>
      <family val="1"/>
    </font>
    <font>
      <b/>
      <sz val="12"/>
      <name val="Cambria"/>
      <family val="1"/>
    </font>
    <font>
      <b/>
      <sz val="13"/>
      <name val="Cambria"/>
      <family val="1"/>
    </font>
    <font>
      <b/>
      <sz val="16"/>
      <name val="Cambria"/>
      <family val="1"/>
    </font>
    <font>
      <sz val="12"/>
      <name val="Calibri"/>
      <family val="2"/>
      <scheme val="min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sz val="12"/>
      <color theme="0" tint="-4.9989318521683403E-2"/>
      <name val="Calibri Light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2">
    <xf numFmtId="0" fontId="0" fillId="0" borderId="0" xfId="0"/>
    <xf numFmtId="0" fontId="5" fillId="3" borderId="0" xfId="1" applyFont="1" applyFill="1"/>
    <xf numFmtId="0" fontId="6" fillId="4" borderId="3" xfId="1" applyFont="1" applyFill="1" applyBorder="1" applyAlignment="1" applyProtection="1">
      <alignment horizontal="center" vertical="center" textRotation="90" wrapText="1"/>
    </xf>
    <xf numFmtId="0" fontId="6" fillId="4" borderId="3" xfId="1" quotePrefix="1" applyFont="1" applyFill="1" applyBorder="1" applyAlignment="1" applyProtection="1">
      <alignment horizontal="center" vertical="center" textRotation="90" wrapText="1"/>
    </xf>
    <xf numFmtId="3" fontId="7" fillId="2" borderId="2" xfId="1" applyNumberFormat="1" applyFont="1" applyFill="1" applyBorder="1" applyAlignment="1" applyProtection="1">
      <alignment horizontal="center" vertical="center" wrapText="1"/>
    </xf>
    <xf numFmtId="3" fontId="7" fillId="2" borderId="5" xfId="1" applyNumberFormat="1" applyFont="1" applyFill="1" applyBorder="1" applyAlignment="1" applyProtection="1">
      <alignment horizontal="center" vertical="center" wrapText="1"/>
    </xf>
    <xf numFmtId="3" fontId="7" fillId="2" borderId="6" xfId="1" applyNumberFormat="1" applyFont="1" applyFill="1" applyBorder="1" applyAlignment="1" applyProtection="1">
      <alignment horizontal="center" vertical="center" wrapText="1"/>
    </xf>
    <xf numFmtId="3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6" xfId="1" applyNumberFormat="1" applyFont="1" applyFill="1" applyBorder="1" applyAlignment="1" applyProtection="1">
      <alignment horizontal="center" vertical="center" wrapText="1"/>
    </xf>
    <xf numFmtId="164" fontId="7" fillId="2" borderId="7" xfId="1" applyNumberFormat="1" applyFont="1" applyFill="1" applyBorder="1" applyAlignment="1" applyProtection="1">
      <alignment horizontal="center" vertical="center" wrapText="1"/>
    </xf>
    <xf numFmtId="164" fontId="7" fillId="2" borderId="5" xfId="1" applyNumberFormat="1" applyFont="1" applyFill="1" applyBorder="1" applyAlignment="1" applyProtection="1">
      <alignment horizontal="center" vertical="center" wrapText="1"/>
    </xf>
    <xf numFmtId="3" fontId="7" fillId="3" borderId="8" xfId="1" applyNumberFormat="1" applyFont="1" applyFill="1" applyBorder="1" applyAlignment="1" applyProtection="1">
      <alignment horizontal="center" vertical="center" wrapText="1"/>
    </xf>
    <xf numFmtId="3" fontId="7" fillId="3" borderId="0" xfId="1" applyNumberFormat="1" applyFont="1" applyFill="1" applyBorder="1" applyAlignment="1" applyProtection="1">
      <alignment horizontal="center" vertical="center" wrapText="1"/>
    </xf>
    <xf numFmtId="3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8" xfId="1" applyNumberFormat="1" applyFont="1" applyFill="1" applyBorder="1" applyAlignment="1" applyProtection="1">
      <alignment horizontal="center" vertical="center" wrapText="1"/>
    </xf>
    <xf numFmtId="164" fontId="7" fillId="3" borderId="9" xfId="1" applyNumberFormat="1" applyFont="1" applyFill="1" applyBorder="1" applyAlignment="1" applyProtection="1">
      <alignment horizontal="center" vertical="center" wrapText="1"/>
    </xf>
    <xf numFmtId="164" fontId="7" fillId="3" borderId="0" xfId="1" applyNumberFormat="1" applyFont="1" applyFill="1" applyBorder="1" applyAlignment="1" applyProtection="1">
      <alignment horizontal="center" vertical="center" wrapText="1"/>
    </xf>
    <xf numFmtId="3" fontId="7" fillId="2" borderId="8" xfId="1" applyNumberFormat="1" applyFont="1" applyFill="1" applyBorder="1" applyAlignment="1" applyProtection="1">
      <alignment horizontal="center" vertical="center" wrapText="1"/>
    </xf>
    <xf numFmtId="3" fontId="7" fillId="2" borderId="0" xfId="1" applyNumberFormat="1" applyFont="1" applyFill="1" applyBorder="1" applyAlignment="1" applyProtection="1">
      <alignment horizontal="center" vertical="center" wrapText="1"/>
    </xf>
    <xf numFmtId="3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8" xfId="1" applyNumberFormat="1" applyFont="1" applyFill="1" applyBorder="1" applyAlignment="1" applyProtection="1">
      <alignment horizontal="center" vertical="center" wrapText="1"/>
    </xf>
    <xf numFmtId="164" fontId="7" fillId="2" borderId="9" xfId="1" applyNumberFormat="1" applyFont="1" applyFill="1" applyBorder="1" applyAlignment="1" applyProtection="1">
      <alignment horizontal="center" vertical="center" wrapText="1"/>
    </xf>
    <xf numFmtId="164" fontId="7" fillId="2" borderId="0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/>
    <xf numFmtId="3" fontId="7" fillId="3" borderId="10" xfId="1" applyNumberFormat="1" applyFont="1" applyFill="1" applyBorder="1" applyAlignment="1" applyProtection="1">
      <alignment horizontal="center" vertical="center" wrapText="1"/>
    </xf>
    <xf numFmtId="3" fontId="7" fillId="3" borderId="1" xfId="1" applyNumberFormat="1" applyFont="1" applyFill="1" applyBorder="1" applyAlignment="1" applyProtection="1">
      <alignment horizontal="center" vertical="center" wrapText="1"/>
    </xf>
    <xf numFmtId="3" fontId="7" fillId="3" borderId="11" xfId="1" applyNumberFormat="1" applyFont="1" applyFill="1" applyBorder="1" applyAlignment="1" applyProtection="1">
      <alignment horizontal="center" vertical="center" wrapText="1"/>
    </xf>
    <xf numFmtId="3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1" xfId="1" applyNumberFormat="1" applyFont="1" applyFill="1" applyBorder="1" applyAlignment="1" applyProtection="1">
      <alignment horizontal="center" vertical="center" wrapText="1"/>
    </xf>
    <xf numFmtId="164" fontId="7" fillId="3" borderId="12" xfId="1" applyNumberFormat="1" applyFont="1" applyFill="1" applyBorder="1" applyAlignment="1" applyProtection="1">
      <alignment horizontal="center" vertical="center" wrapText="1"/>
    </xf>
    <xf numFmtId="164" fontId="7" fillId="3" borderId="1" xfId="1" applyNumberFormat="1" applyFont="1" applyFill="1" applyBorder="1" applyAlignment="1" applyProtection="1">
      <alignment horizontal="center" vertical="center" wrapText="1"/>
    </xf>
    <xf numFmtId="0" fontId="9" fillId="5" borderId="3" xfId="1" applyFont="1" applyFill="1" applyBorder="1" applyAlignment="1" applyProtection="1">
      <alignment horizontal="center" vertical="center" wrapText="1"/>
    </xf>
    <xf numFmtId="3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4" xfId="1" applyNumberFormat="1" applyFont="1" applyFill="1" applyBorder="1" applyAlignment="1" applyProtection="1">
      <alignment horizontal="center" vertical="center" wrapText="1"/>
    </xf>
    <xf numFmtId="164" fontId="10" fillId="5" borderId="3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Alignment="1">
      <alignment vertical="center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3" xfId="1" quotePrefix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3" fontId="7" fillId="6" borderId="0" xfId="1" applyNumberFormat="1" applyFont="1" applyFill="1" applyBorder="1" applyAlignment="1" applyProtection="1">
      <alignment horizontal="center" vertical="center" wrapText="1"/>
    </xf>
    <xf numFmtId="3" fontId="7" fillId="6" borderId="7" xfId="1" applyNumberFormat="1" applyFont="1" applyFill="1" applyBorder="1" applyAlignment="1" applyProtection="1">
      <alignment horizontal="center" vertical="center" wrapText="1"/>
    </xf>
    <xf numFmtId="3" fontId="7" fillId="6" borderId="5" xfId="1" applyNumberFormat="1" applyFont="1" applyFill="1" applyBorder="1" applyAlignment="1" applyProtection="1">
      <alignment horizontal="center" vertical="center" wrapText="1"/>
    </xf>
    <xf numFmtId="3" fontId="7" fillId="6" borderId="6" xfId="1" applyNumberFormat="1" applyFont="1" applyFill="1" applyBorder="1" applyAlignment="1" applyProtection="1">
      <alignment horizontal="center" vertical="center" wrapText="1"/>
    </xf>
    <xf numFmtId="164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5" xfId="1" applyNumberFormat="1" applyFont="1" applyFill="1" applyBorder="1" applyAlignment="1" applyProtection="1">
      <alignment horizontal="center" vertical="center" wrapText="1"/>
    </xf>
    <xf numFmtId="164" fontId="7" fillId="6" borderId="7" xfId="1" applyNumberFormat="1" applyFont="1" applyFill="1" applyBorder="1" applyAlignment="1" applyProtection="1">
      <alignment horizontal="center" vertical="center" wrapText="1"/>
    </xf>
    <xf numFmtId="164" fontId="7" fillId="6" borderId="6" xfId="1" applyNumberFormat="1" applyFont="1" applyFill="1" applyBorder="1" applyAlignment="1" applyProtection="1">
      <alignment horizontal="center" vertical="center" wrapText="1"/>
    </xf>
    <xf numFmtId="3" fontId="7" fillId="8" borderId="0" xfId="1" applyNumberFormat="1" applyFont="1" applyFill="1" applyBorder="1" applyAlignment="1" applyProtection="1">
      <alignment horizontal="center" vertical="center" wrapText="1"/>
    </xf>
    <xf numFmtId="3" fontId="7" fillId="8" borderId="9" xfId="1" applyNumberFormat="1" applyFont="1" applyFill="1" applyBorder="1" applyAlignment="1" applyProtection="1">
      <alignment horizontal="center" vertical="center" wrapText="1"/>
    </xf>
    <xf numFmtId="3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8" xfId="1" applyNumberFormat="1" applyFont="1" applyFill="1" applyBorder="1" applyAlignment="1" applyProtection="1">
      <alignment horizontal="center" vertical="center" wrapText="1"/>
    </xf>
    <xf numFmtId="164" fontId="7" fillId="8" borderId="0" xfId="1" applyNumberFormat="1" applyFont="1" applyFill="1" applyBorder="1" applyAlignment="1" applyProtection="1">
      <alignment horizontal="center" vertical="center" wrapText="1"/>
    </xf>
    <xf numFmtId="164" fontId="7" fillId="8" borderId="9" xfId="1" applyNumberFormat="1" applyFont="1" applyFill="1" applyBorder="1" applyAlignment="1" applyProtection="1">
      <alignment horizontal="center" vertical="center" wrapText="1"/>
    </xf>
    <xf numFmtId="3" fontId="7" fillId="6" borderId="9" xfId="1" applyNumberFormat="1" applyFont="1" applyFill="1" applyBorder="1" applyAlignment="1" applyProtection="1">
      <alignment horizontal="center" vertical="center" wrapText="1"/>
    </xf>
    <xf numFmtId="3" fontId="7" fillId="6" borderId="8" xfId="1" applyNumberFormat="1" applyFont="1" applyFill="1" applyBorder="1" applyAlignment="1" applyProtection="1">
      <alignment horizontal="center" vertical="center" wrapText="1"/>
    </xf>
    <xf numFmtId="164" fontId="7" fillId="6" borderId="0" xfId="1" applyNumberFormat="1" applyFont="1" applyFill="1" applyBorder="1" applyAlignment="1" applyProtection="1">
      <alignment horizontal="center" vertical="center" wrapText="1"/>
    </xf>
    <xf numFmtId="164" fontId="7" fillId="6" borderId="9" xfId="1" applyNumberFormat="1" applyFont="1" applyFill="1" applyBorder="1" applyAlignment="1" applyProtection="1">
      <alignment horizontal="center" vertical="center" wrapText="1"/>
    </xf>
    <xf numFmtId="3" fontId="7" fillId="8" borderId="12" xfId="1" applyNumberFormat="1" applyFont="1" applyFill="1" applyBorder="1" applyAlignment="1" applyProtection="1">
      <alignment horizontal="center" vertical="center" wrapText="1"/>
    </xf>
    <xf numFmtId="3" fontId="7" fillId="8" borderId="1" xfId="1" applyNumberFormat="1" applyFont="1" applyFill="1" applyBorder="1" applyAlignment="1" applyProtection="1">
      <alignment horizontal="center" vertical="center" wrapText="1"/>
    </xf>
    <xf numFmtId="3" fontId="7" fillId="8" borderId="11" xfId="1" applyNumberFormat="1" applyFont="1" applyFill="1" applyBorder="1" applyAlignment="1" applyProtection="1">
      <alignment horizontal="center" vertical="center" wrapText="1"/>
    </xf>
    <xf numFmtId="164" fontId="7" fillId="8" borderId="1" xfId="1" applyNumberFormat="1" applyFont="1" applyFill="1" applyBorder="1" applyAlignment="1" applyProtection="1">
      <alignment horizontal="center" vertical="center" wrapText="1"/>
    </xf>
    <xf numFmtId="164" fontId="7" fillId="8" borderId="12" xfId="1" applyNumberFormat="1" applyFont="1" applyFill="1" applyBorder="1" applyAlignment="1" applyProtection="1">
      <alignment horizontal="center" vertical="center" wrapText="1"/>
    </xf>
    <xf numFmtId="164" fontId="7" fillId="8" borderId="11" xfId="1" applyNumberFormat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 applyProtection="1">
      <alignment horizontal="center" vertical="center" wrapText="1"/>
    </xf>
    <xf numFmtId="3" fontId="10" fillId="7" borderId="4" xfId="1" applyNumberFormat="1" applyFont="1" applyFill="1" applyBorder="1" applyAlignment="1" applyProtection="1">
      <alignment horizontal="center" vertical="center" wrapText="1"/>
    </xf>
    <xf numFmtId="164" fontId="10" fillId="7" borderId="3" xfId="1" applyNumberFormat="1" applyFont="1" applyFill="1" applyBorder="1" applyAlignment="1" applyProtection="1">
      <alignment horizontal="center" vertical="center" wrapText="1"/>
    </xf>
    <xf numFmtId="164" fontId="10" fillId="7" borderId="4" xfId="1" applyNumberFormat="1" applyFont="1" applyFill="1" applyBorder="1" applyAlignment="1" applyProtection="1">
      <alignment horizontal="center" vertical="center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0" fontId="9" fillId="10" borderId="2" xfId="1" quotePrefix="1" applyFont="1" applyFill="1" applyBorder="1" applyAlignment="1" applyProtection="1">
      <alignment horizontal="center" vertical="center" textRotation="90" wrapText="1"/>
    </xf>
    <xf numFmtId="0" fontId="8" fillId="9" borderId="0" xfId="1" applyFont="1" applyFill="1" applyBorder="1" applyAlignment="1" applyProtection="1">
      <alignment horizontal="center" vertical="center" wrapText="1"/>
    </xf>
    <xf numFmtId="3" fontId="8" fillId="9" borderId="7" xfId="1" applyNumberFormat="1" applyFont="1" applyFill="1" applyBorder="1" applyAlignment="1" applyProtection="1">
      <alignment horizontal="center" vertical="center" wrapText="1"/>
    </xf>
    <xf numFmtId="3" fontId="8" fillId="9" borderId="5" xfId="1" applyNumberFormat="1" applyFont="1" applyFill="1" applyBorder="1" applyAlignment="1" applyProtection="1">
      <alignment horizontal="center" vertical="center" wrapText="1"/>
    </xf>
    <xf numFmtId="3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6" xfId="1" applyNumberFormat="1" applyFont="1" applyFill="1" applyBorder="1" applyAlignment="1" applyProtection="1">
      <alignment horizontal="center" vertical="center" wrapText="1"/>
    </xf>
    <xf numFmtId="164" fontId="8" fillId="9" borderId="7" xfId="1" applyNumberFormat="1" applyFont="1" applyFill="1" applyBorder="1" applyAlignment="1" applyProtection="1">
      <alignment horizontal="center" vertical="center" wrapText="1"/>
    </xf>
    <xf numFmtId="164" fontId="8" fillId="9" borderId="5" xfId="1" applyNumberFormat="1" applyFont="1" applyFill="1" applyBorder="1" applyAlignment="1" applyProtection="1">
      <alignment horizontal="center" vertical="center" wrapText="1"/>
    </xf>
    <xf numFmtId="0" fontId="8" fillId="3" borderId="0" xfId="1" applyFont="1" applyFill="1" applyBorder="1" applyAlignment="1" applyProtection="1">
      <alignment horizontal="center" vertical="center" wrapText="1"/>
    </xf>
    <xf numFmtId="3" fontId="18" fillId="3" borderId="9" xfId="1" applyNumberFormat="1" applyFont="1" applyFill="1" applyBorder="1" applyAlignment="1" applyProtection="1">
      <alignment horizontal="center" vertical="center" wrapText="1"/>
    </xf>
    <xf numFmtId="3" fontId="18" fillId="3" borderId="0" xfId="1" applyNumberFormat="1" applyFont="1" applyFill="1" applyBorder="1" applyAlignment="1" applyProtection="1">
      <alignment horizontal="center" vertical="center" wrapText="1"/>
    </xf>
    <xf numFmtId="3" fontId="18" fillId="3" borderId="8" xfId="1" applyNumberFormat="1" applyFont="1" applyFill="1" applyBorder="1" applyAlignment="1" applyProtection="1">
      <alignment horizontal="center" vertical="center" wrapText="1"/>
    </xf>
    <xf numFmtId="164" fontId="8" fillId="3" borderId="8" xfId="1" applyNumberFormat="1" applyFont="1" applyFill="1" applyBorder="1" applyAlignment="1" applyProtection="1">
      <alignment horizontal="center" vertical="center" wrapText="1"/>
    </xf>
    <xf numFmtId="164" fontId="18" fillId="3" borderId="9" xfId="1" applyNumberFormat="1" applyFont="1" applyFill="1" applyBorder="1" applyAlignment="1" applyProtection="1">
      <alignment horizontal="center" vertical="center" wrapText="1"/>
    </xf>
    <xf numFmtId="164" fontId="18" fillId="3" borderId="0" xfId="1" applyNumberFormat="1" applyFont="1" applyFill="1" applyBorder="1" applyAlignment="1" applyProtection="1">
      <alignment horizontal="center" vertical="center" wrapText="1"/>
    </xf>
    <xf numFmtId="3" fontId="18" fillId="9" borderId="9" xfId="1" applyNumberFormat="1" applyFont="1" applyFill="1" applyBorder="1" applyAlignment="1" applyProtection="1">
      <alignment horizontal="center" vertical="center" wrapText="1"/>
    </xf>
    <xf numFmtId="3" fontId="18" fillId="9" borderId="0" xfId="1" applyNumberFormat="1" applyFont="1" applyFill="1" applyBorder="1" applyAlignment="1" applyProtection="1">
      <alignment horizontal="center" vertical="center" wrapText="1"/>
    </xf>
    <xf numFmtId="3" fontId="18" fillId="9" borderId="8" xfId="1" applyNumberFormat="1" applyFont="1" applyFill="1" applyBorder="1" applyAlignment="1" applyProtection="1">
      <alignment horizontal="center" vertical="center" wrapText="1"/>
    </xf>
    <xf numFmtId="164" fontId="8" fillId="9" borderId="8" xfId="1" applyNumberFormat="1" applyFont="1" applyFill="1" applyBorder="1" applyAlignment="1" applyProtection="1">
      <alignment horizontal="center" vertical="center" wrapText="1"/>
    </xf>
    <xf numFmtId="164" fontId="18" fillId="9" borderId="9" xfId="1" applyNumberFormat="1" applyFont="1" applyFill="1" applyBorder="1" applyAlignment="1" applyProtection="1">
      <alignment horizontal="center" vertical="center" wrapText="1"/>
    </xf>
    <xf numFmtId="164" fontId="18" fillId="9" borderId="0" xfId="1" applyNumberFormat="1" applyFont="1" applyFill="1" applyBorder="1" applyAlignment="1" applyProtection="1">
      <alignment horizontal="center" vertical="center" wrapText="1"/>
    </xf>
    <xf numFmtId="4" fontId="18" fillId="3" borderId="0" xfId="1" applyNumberFormat="1" applyFont="1" applyFill="1" applyBorder="1" applyAlignment="1" applyProtection="1">
      <alignment horizontal="center" vertical="center" wrapText="1"/>
    </xf>
    <xf numFmtId="4" fontId="18" fillId="9" borderId="0" xfId="1" applyNumberFormat="1" applyFont="1" applyFill="1" applyBorder="1" applyAlignment="1" applyProtection="1">
      <alignment horizontal="center" vertical="center" wrapText="1"/>
    </xf>
    <xf numFmtId="3" fontId="8" fillId="3" borderId="9" xfId="1" applyNumberFormat="1" applyFont="1" applyFill="1" applyBorder="1" applyAlignment="1" applyProtection="1">
      <alignment horizontal="center" vertical="center" wrapText="1"/>
    </xf>
    <xf numFmtId="3" fontId="8" fillId="3" borderId="0" xfId="1" applyNumberFormat="1" applyFont="1" applyFill="1" applyBorder="1" applyAlignment="1" applyProtection="1">
      <alignment horizontal="center" vertical="center" wrapText="1"/>
    </xf>
    <xf numFmtId="164" fontId="8" fillId="3" borderId="9" xfId="1" applyNumberFormat="1" applyFont="1" applyFill="1" applyBorder="1" applyAlignment="1" applyProtection="1">
      <alignment horizontal="center" vertical="center" wrapText="1"/>
    </xf>
    <xf numFmtId="164" fontId="8" fillId="3" borderId="0" xfId="1" applyNumberFormat="1" applyFont="1" applyFill="1" applyBorder="1" applyAlignment="1" applyProtection="1">
      <alignment horizontal="center" vertical="center" wrapText="1"/>
    </xf>
    <xf numFmtId="0" fontId="19" fillId="9" borderId="0" xfId="1" applyFont="1" applyFill="1" applyBorder="1" applyAlignment="1" applyProtection="1">
      <alignment horizontal="center" vertical="center" wrapText="1"/>
    </xf>
    <xf numFmtId="3" fontId="19" fillId="9" borderId="9" xfId="1" applyNumberFormat="1" applyFont="1" applyFill="1" applyBorder="1" applyAlignment="1" applyProtection="1">
      <alignment horizontal="center" vertical="center" wrapText="1"/>
    </xf>
    <xf numFmtId="3" fontId="19" fillId="9" borderId="0" xfId="1" applyNumberFormat="1" applyFont="1" applyFill="1" applyBorder="1" applyAlignment="1" applyProtection="1">
      <alignment horizontal="center" vertical="center" wrapText="1"/>
    </xf>
    <xf numFmtId="3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8" xfId="1" applyNumberFormat="1" applyFont="1" applyFill="1" applyBorder="1" applyAlignment="1" applyProtection="1">
      <alignment horizontal="center" vertical="center" wrapText="1"/>
    </xf>
    <xf numFmtId="164" fontId="19" fillId="9" borderId="9" xfId="1" applyNumberFormat="1" applyFont="1" applyFill="1" applyBorder="1" applyAlignment="1" applyProtection="1">
      <alignment horizontal="center" vertical="center" wrapText="1"/>
    </xf>
    <xf numFmtId="164" fontId="19" fillId="9" borderId="0" xfId="1" applyNumberFormat="1" applyFont="1" applyFill="1" applyBorder="1" applyAlignment="1" applyProtection="1">
      <alignment horizontal="center" vertical="center" wrapText="1"/>
    </xf>
    <xf numFmtId="0" fontId="20" fillId="3" borderId="0" xfId="1" applyFont="1" applyFill="1"/>
    <xf numFmtId="3" fontId="8" fillId="3" borderId="8" xfId="1" applyNumberFormat="1" applyFont="1" applyFill="1" applyBorder="1" applyAlignment="1" applyProtection="1">
      <alignment horizontal="center" vertical="center" wrapText="1"/>
    </xf>
    <xf numFmtId="3" fontId="8" fillId="9" borderId="9" xfId="1" applyNumberFormat="1" applyFont="1" applyFill="1" applyBorder="1" applyAlignment="1" applyProtection="1">
      <alignment horizontal="center" vertical="center" wrapText="1"/>
    </xf>
    <xf numFmtId="3" fontId="8" fillId="9" borderId="0" xfId="1" applyNumberFormat="1" applyFont="1" applyFill="1" applyBorder="1" applyAlignment="1" applyProtection="1">
      <alignment horizontal="center" vertical="center" wrapText="1"/>
    </xf>
    <xf numFmtId="3" fontId="8" fillId="9" borderId="8" xfId="1" applyNumberFormat="1" applyFont="1" applyFill="1" applyBorder="1" applyAlignment="1" applyProtection="1">
      <alignment horizontal="center" vertical="center" wrapText="1"/>
    </xf>
    <xf numFmtId="164" fontId="8" fillId="9" borderId="9" xfId="1" applyNumberFormat="1" applyFont="1" applyFill="1" applyBorder="1" applyAlignment="1" applyProtection="1">
      <alignment horizontal="center" vertical="center" wrapText="1"/>
    </xf>
    <xf numFmtId="164" fontId="8" fillId="9" borderId="0" xfId="1" applyNumberFormat="1" applyFont="1" applyFill="1" applyBorder="1" applyAlignment="1" applyProtection="1">
      <alignment horizontal="center" vertical="center" wrapText="1"/>
    </xf>
    <xf numFmtId="3" fontId="8" fillId="3" borderId="12" xfId="1" applyNumberFormat="1" applyFont="1" applyFill="1" applyBorder="1" applyAlignment="1" applyProtection="1">
      <alignment horizontal="center" vertical="center" wrapText="1"/>
    </xf>
    <xf numFmtId="3" fontId="8" fillId="3" borderId="1" xfId="1" applyNumberFormat="1" applyFont="1" applyFill="1" applyBorder="1" applyAlignment="1" applyProtection="1">
      <alignment horizontal="center" vertical="center" wrapText="1"/>
    </xf>
    <xf numFmtId="3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1" xfId="1" applyNumberFormat="1" applyFont="1" applyFill="1" applyBorder="1" applyAlignment="1" applyProtection="1">
      <alignment horizontal="center" vertical="center" wrapText="1"/>
    </xf>
    <xf numFmtId="164" fontId="8" fillId="3" borderId="12" xfId="1" applyNumberFormat="1" applyFont="1" applyFill="1" applyBorder="1" applyAlignment="1" applyProtection="1">
      <alignment horizontal="center" vertical="center" wrapText="1"/>
    </xf>
    <xf numFmtId="164" fontId="8" fillId="3" borderId="1" xfId="1" applyNumberFormat="1" applyFont="1" applyFill="1" applyBorder="1" applyAlignment="1" applyProtection="1">
      <alignment horizontal="center" vertical="center" wrapText="1"/>
    </xf>
    <xf numFmtId="0" fontId="9" fillId="11" borderId="3" xfId="1" applyFont="1" applyFill="1" applyBorder="1" applyAlignment="1" applyProtection="1">
      <alignment horizontal="center" vertical="center" wrapText="1"/>
    </xf>
    <xf numFmtId="3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10" xfId="1" applyNumberFormat="1" applyFont="1" applyFill="1" applyBorder="1" applyAlignment="1" applyProtection="1">
      <alignment horizontal="center" vertical="center" wrapText="1"/>
    </xf>
    <xf numFmtId="164" fontId="21" fillId="11" borderId="3" xfId="1" applyNumberFormat="1" applyFont="1" applyFill="1" applyBorder="1" applyAlignment="1" applyProtection="1">
      <alignment horizontal="center" vertical="center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9" fillId="13" borderId="2" xfId="1" quotePrefix="1" applyFont="1" applyFill="1" applyBorder="1" applyAlignment="1" applyProtection="1">
      <alignment horizontal="center" vertical="center" textRotation="90" wrapText="1"/>
    </xf>
    <xf numFmtId="0" fontId="8" fillId="12" borderId="0" xfId="1" applyFont="1" applyFill="1" applyBorder="1" applyAlignment="1" applyProtection="1">
      <alignment horizontal="center" vertical="center" wrapText="1"/>
    </xf>
    <xf numFmtId="3" fontId="8" fillId="12" borderId="7" xfId="1" applyNumberFormat="1" applyFont="1" applyFill="1" applyBorder="1" applyAlignment="1" applyProtection="1">
      <alignment horizontal="center" vertical="center" wrapText="1"/>
    </xf>
    <xf numFmtId="3" fontId="8" fillId="12" borderId="5" xfId="1" applyNumberFormat="1" applyFont="1" applyFill="1" applyBorder="1" applyAlignment="1" applyProtection="1">
      <alignment horizontal="center" vertical="center" wrapText="1"/>
    </xf>
    <xf numFmtId="3" fontId="8" fillId="12" borderId="6" xfId="1" applyNumberFormat="1" applyFont="1" applyFill="1" applyBorder="1" applyAlignment="1" applyProtection="1">
      <alignment horizontal="center" vertical="center" wrapText="1"/>
    </xf>
    <xf numFmtId="164" fontId="8" fillId="12" borderId="6" xfId="1" quotePrefix="1" applyNumberFormat="1" applyFont="1" applyFill="1" applyBorder="1" applyAlignment="1" applyProtection="1">
      <alignment horizontal="center" vertical="center" wrapText="1"/>
    </xf>
    <xf numFmtId="164" fontId="8" fillId="12" borderId="7" xfId="1" applyNumberFormat="1" applyFont="1" applyFill="1" applyBorder="1" applyAlignment="1" applyProtection="1">
      <alignment horizontal="center" vertical="center" wrapText="1"/>
    </xf>
    <xf numFmtId="164" fontId="8" fillId="12" borderId="5" xfId="1" applyNumberFormat="1" applyFont="1" applyFill="1" applyBorder="1" applyAlignment="1" applyProtection="1">
      <alignment horizontal="center" vertical="center" wrapText="1"/>
    </xf>
    <xf numFmtId="164" fontId="8" fillId="12" borderId="6" xfId="1" applyNumberFormat="1" applyFont="1" applyFill="1" applyBorder="1" applyAlignment="1" applyProtection="1">
      <alignment horizontal="center" vertical="center" wrapText="1"/>
    </xf>
    <xf numFmtId="164" fontId="8" fillId="3" borderId="8" xfId="1" quotePrefix="1" applyNumberFormat="1" applyFont="1" applyFill="1" applyBorder="1" applyAlignment="1" applyProtection="1">
      <alignment horizontal="center" vertical="center" wrapText="1"/>
    </xf>
    <xf numFmtId="3" fontId="8" fillId="12" borderId="9" xfId="1" applyNumberFormat="1" applyFont="1" applyFill="1" applyBorder="1" applyAlignment="1" applyProtection="1">
      <alignment horizontal="center" vertical="center" wrapText="1"/>
    </xf>
    <xf numFmtId="3" fontId="8" fillId="12" borderId="0" xfId="1" applyNumberFormat="1" applyFont="1" applyFill="1" applyBorder="1" applyAlignment="1" applyProtection="1">
      <alignment horizontal="center" vertical="center" wrapText="1"/>
    </xf>
    <xf numFmtId="3" fontId="8" fillId="12" borderId="8" xfId="1" applyNumberFormat="1" applyFont="1" applyFill="1" applyBorder="1" applyAlignment="1" applyProtection="1">
      <alignment horizontal="center" vertical="center" wrapText="1"/>
    </xf>
    <xf numFmtId="164" fontId="8" fillId="12" borderId="8" xfId="1" quotePrefix="1" applyNumberFormat="1" applyFont="1" applyFill="1" applyBorder="1" applyAlignment="1" applyProtection="1">
      <alignment horizontal="center" vertical="center" wrapText="1"/>
    </xf>
    <xf numFmtId="164" fontId="8" fillId="12" borderId="9" xfId="1" applyNumberFormat="1" applyFont="1" applyFill="1" applyBorder="1" applyAlignment="1" applyProtection="1">
      <alignment horizontal="center" vertical="center" wrapText="1"/>
    </xf>
    <xf numFmtId="164" fontId="8" fillId="12" borderId="0" xfId="1" applyNumberFormat="1" applyFont="1" applyFill="1" applyBorder="1" applyAlignment="1" applyProtection="1">
      <alignment horizontal="center" vertical="center" wrapText="1"/>
    </xf>
    <xf numFmtId="164" fontId="8" fillId="12" borderId="8" xfId="1" applyNumberFormat="1" applyFont="1" applyFill="1" applyBorder="1" applyAlignment="1" applyProtection="1">
      <alignment horizontal="center" vertical="center" wrapText="1"/>
    </xf>
    <xf numFmtId="0" fontId="9" fillId="13" borderId="10" xfId="1" applyFont="1" applyFill="1" applyBorder="1" applyAlignment="1" applyProtection="1">
      <alignment horizontal="center" vertical="center" wrapText="1"/>
    </xf>
    <xf numFmtId="3" fontId="21" fillId="13" borderId="10" xfId="1" applyNumberFormat="1" applyFont="1" applyFill="1" applyBorder="1" applyAlignment="1" applyProtection="1">
      <alignment horizontal="center" vertical="center" wrapText="1"/>
    </xf>
    <xf numFmtId="164" fontId="21" fillId="13" borderId="10" xfId="1" quotePrefix="1" applyNumberFormat="1" applyFont="1" applyFill="1" applyBorder="1" applyAlignment="1" applyProtection="1">
      <alignment horizontal="center" vertical="center" wrapText="1"/>
    </xf>
    <xf numFmtId="164" fontId="21" fillId="13" borderId="10" xfId="1" applyNumberFormat="1" applyFont="1" applyFill="1" applyBorder="1" applyAlignment="1" applyProtection="1">
      <alignment horizontal="center" vertical="center" wrapText="1"/>
    </xf>
    <xf numFmtId="165" fontId="5" fillId="3" borderId="0" xfId="1" applyNumberFormat="1" applyFont="1" applyFill="1" applyProtection="1"/>
    <xf numFmtId="0" fontId="5" fillId="3" borderId="0" xfId="1" applyFont="1" applyFill="1" applyAlignment="1" applyProtection="1">
      <alignment horizontal="left"/>
    </xf>
    <xf numFmtId="0" fontId="9" fillId="13" borderId="3" xfId="1" applyFont="1" applyFill="1" applyBorder="1" applyAlignment="1" applyProtection="1">
      <alignment horizontal="center" vertical="center" wrapText="1"/>
    </xf>
    <xf numFmtId="0" fontId="9" fillId="13" borderId="3" xfId="1" applyFont="1" applyFill="1" applyBorder="1" applyAlignment="1" applyProtection="1">
      <alignment horizontal="center" vertical="center" textRotation="90" wrapText="1"/>
    </xf>
    <xf numFmtId="0" fontId="9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12" fillId="12" borderId="13" xfId="1" applyNumberFormat="1" applyFont="1" applyFill="1" applyBorder="1" applyAlignment="1" applyProtection="1">
      <alignment horizontal="center" vertical="center" wrapText="1"/>
    </xf>
    <xf numFmtId="3" fontId="15" fillId="12" borderId="13" xfId="1" applyNumberFormat="1" applyFont="1" applyFill="1" applyBorder="1" applyAlignment="1" applyProtection="1">
      <alignment horizontal="center" vertical="center" wrapText="1"/>
    </xf>
    <xf numFmtId="3" fontId="12" fillId="12" borderId="13" xfId="1" applyNumberFormat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wrapText="1"/>
    </xf>
    <xf numFmtId="0" fontId="9" fillId="10" borderId="3" xfId="1" applyFont="1" applyFill="1" applyBorder="1" applyAlignment="1" applyProtection="1">
      <alignment horizontal="center" vertical="center" textRotation="90" wrapText="1"/>
    </xf>
    <xf numFmtId="0" fontId="9" fillId="10" borderId="2" xfId="1" applyFont="1" applyFill="1" applyBorder="1" applyAlignment="1" applyProtection="1">
      <alignment horizontal="center" vertical="center" textRotation="90" wrapText="1"/>
    </xf>
    <xf numFmtId="49" fontId="12" fillId="9" borderId="13" xfId="1" applyNumberFormat="1" applyFont="1" applyFill="1" applyBorder="1" applyAlignment="1" applyProtection="1">
      <alignment horizontal="center" vertical="center" wrapText="1"/>
    </xf>
    <xf numFmtId="3" fontId="15" fillId="9" borderId="13" xfId="1" applyNumberFormat="1" applyFont="1" applyFill="1" applyBorder="1" applyAlignment="1" applyProtection="1">
      <alignment horizontal="center" vertical="center" wrapText="1"/>
    </xf>
    <xf numFmtId="3" fontId="12" fillId="9" borderId="13" xfId="1" applyNumberFormat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wrapText="1"/>
    </xf>
    <xf numFmtId="0" fontId="9" fillId="7" borderId="3" xfId="1" applyFont="1" applyFill="1" applyBorder="1" applyAlignment="1" applyProtection="1">
      <alignment horizontal="center" vertical="center" textRotation="90" wrapText="1"/>
    </xf>
    <xf numFmtId="0" fontId="9" fillId="7" borderId="2" xfId="1" applyFont="1" applyFill="1" applyBorder="1" applyAlignment="1" applyProtection="1">
      <alignment horizontal="center" vertical="center" textRotation="90" wrapText="1"/>
    </xf>
    <xf numFmtId="49" fontId="12" fillId="6" borderId="13" xfId="1" applyNumberFormat="1" applyFont="1" applyFill="1" applyBorder="1" applyAlignment="1" applyProtection="1">
      <alignment horizontal="center" vertical="center" wrapText="1"/>
    </xf>
    <xf numFmtId="164" fontId="3" fillId="6" borderId="13" xfId="1" applyNumberFormat="1" applyFont="1" applyFill="1" applyBorder="1" applyAlignment="1" applyProtection="1">
      <alignment horizontal="center" vertical="center" wrapText="1"/>
    </xf>
    <xf numFmtId="164" fontId="12" fillId="6" borderId="13" xfId="1" applyNumberFormat="1" applyFont="1" applyFill="1" applyBorder="1" applyAlignment="1" applyProtection="1">
      <alignment horizontal="center" vertical="center" wrapText="1"/>
    </xf>
    <xf numFmtId="164" fontId="12" fillId="6" borderId="14" xfId="1" applyNumberFormat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wrapText="1"/>
    </xf>
    <xf numFmtId="0" fontId="6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3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6" fillId="4" borderId="2" xfId="1" applyFont="1" applyFill="1" applyBorder="1" applyAlignment="1" applyProtection="1">
      <alignment horizontal="center" vertical="center" wrapText="1"/>
    </xf>
    <xf numFmtId="0" fontId="6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Nitin%20Soni,%20JSO/November%202022/New%20folder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Sheet1"/>
      <sheetName val="Sheet5"/>
      <sheetName val="PivotTable"/>
      <sheetName val="Interface"/>
      <sheetName val="Sheet2"/>
      <sheetName val="Sheet3"/>
      <sheetName val="Data"/>
      <sheetName val="Sheet4"/>
      <sheetName val="Sheet6"/>
      <sheetName val="Monthly_Template"/>
      <sheetName val="Sheet15"/>
      <sheetName val="DOMESTIC"/>
      <sheetName val="INTERNATIONAL"/>
    </sheetNames>
    <sheetDataSet>
      <sheetData sheetId="0"/>
      <sheetData sheetId="1"/>
      <sheetData sheetId="2"/>
      <sheetData sheetId="3"/>
      <sheetData sheetId="4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FLYBIG</v>
          </cell>
        </row>
        <row r="24">
          <cell r="AT24" t="str">
            <v>KINGFISHER</v>
          </cell>
        </row>
        <row r="25">
          <cell r="AT25" t="str">
            <v>AIR TAXI</v>
          </cell>
        </row>
        <row r="26">
          <cell r="AT26" t="str">
            <v>MDLR</v>
          </cell>
        </row>
        <row r="27">
          <cell r="AT27" t="str">
            <v>PARAMOUNT</v>
          </cell>
        </row>
        <row r="28">
          <cell r="AT28" t="str">
            <v>QUIKJET CARGO</v>
          </cell>
        </row>
        <row r="29">
          <cell r="AT29" t="str">
            <v>SPICEJET</v>
          </cell>
        </row>
        <row r="30">
          <cell r="AT30" t="str">
            <v>STAR AIR</v>
          </cell>
        </row>
        <row r="31">
          <cell r="AT31" t="str">
            <v>TRUJET</v>
          </cell>
        </row>
        <row r="32">
          <cell r="AT32" t="str">
            <v>VISTARA</v>
          </cell>
        </row>
        <row r="33">
          <cell r="AT33" t="str">
            <v>ZOOM AIR</v>
          </cell>
        </row>
        <row r="34">
          <cell r="AT34" t="str">
            <v>PAWAN HANS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48" transitionEvaluation="1" transitionEntry="1" codeName="Sheet12"/>
  <dimension ref="A1:Q494"/>
  <sheetViews>
    <sheetView showGridLines="0" tabSelected="1" view="pageBreakPreview" topLeftCell="A48" zoomScaleNormal="85" zoomScaleSheetLayoutView="100" workbookViewId="0">
      <selection activeCell="G48" sqref="G48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2.14062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7">
        <v>2022</v>
      </c>
      <c r="B1" s="167"/>
      <c r="C1" s="168" t="s">
        <v>0</v>
      </c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9" t="s">
        <v>1</v>
      </c>
      <c r="P1" s="169"/>
      <c r="Q1" s="169"/>
    </row>
    <row r="2" spans="1:17" ht="33" customHeight="1" x14ac:dyDescent="0.3">
      <c r="A2" s="170" t="s">
        <v>2</v>
      </c>
      <c r="B2" s="165" t="s">
        <v>3</v>
      </c>
      <c r="C2" s="165"/>
      <c r="D2" s="165"/>
      <c r="E2" s="166" t="s">
        <v>4</v>
      </c>
      <c r="F2" s="166" t="s">
        <v>5</v>
      </c>
      <c r="G2" s="166" t="s">
        <v>6</v>
      </c>
      <c r="H2" s="166" t="s">
        <v>7</v>
      </c>
      <c r="I2" s="165" t="s">
        <v>8</v>
      </c>
      <c r="J2" s="165"/>
      <c r="K2" s="165"/>
      <c r="L2" s="165" t="s">
        <v>9</v>
      </c>
      <c r="M2" s="165"/>
      <c r="N2" s="165"/>
      <c r="O2" s="165"/>
      <c r="P2" s="166" t="s">
        <v>10</v>
      </c>
      <c r="Q2" s="166" t="s">
        <v>11</v>
      </c>
    </row>
    <row r="3" spans="1:17" ht="155.25" customHeight="1" x14ac:dyDescent="0.3">
      <c r="A3" s="171"/>
      <c r="B3" s="2" t="s">
        <v>12</v>
      </c>
      <c r="C3" s="2" t="s">
        <v>13</v>
      </c>
      <c r="D3" s="2" t="s">
        <v>14</v>
      </c>
      <c r="E3" s="166"/>
      <c r="F3" s="166"/>
      <c r="G3" s="166"/>
      <c r="H3" s="166"/>
      <c r="I3" s="2" t="s">
        <v>15</v>
      </c>
      <c r="J3" s="3" t="s">
        <v>16</v>
      </c>
      <c r="K3" s="2" t="s">
        <v>17</v>
      </c>
      <c r="L3" s="2" t="s">
        <v>18</v>
      </c>
      <c r="M3" s="2" t="s">
        <v>19</v>
      </c>
      <c r="N3" s="2" t="s">
        <v>20</v>
      </c>
      <c r="O3" s="2" t="s">
        <v>21</v>
      </c>
      <c r="P3" s="166"/>
      <c r="Q3" s="166"/>
    </row>
    <row r="4" spans="1:17" ht="23.1" customHeight="1" x14ac:dyDescent="0.3">
      <c r="A4" s="4" t="s">
        <v>22</v>
      </c>
      <c r="B4" s="5">
        <v>444</v>
      </c>
      <c r="C4" s="5">
        <v>574.20000000000005</v>
      </c>
      <c r="D4" s="6">
        <v>436</v>
      </c>
      <c r="E4" s="7"/>
      <c r="F4" s="5"/>
      <c r="G4" s="5"/>
      <c r="H4" s="8" t="str">
        <f>IFERROR(F4/G4*100," ")</f>
        <v xml:space="preserve"> </v>
      </c>
      <c r="I4" s="9">
        <v>9243.1400000000031</v>
      </c>
      <c r="J4" s="10"/>
      <c r="K4" s="8">
        <f>IF(AND(ISBLANK(I4),ISBLANK(J4))=TRUE,"",I4+J4)</f>
        <v>9243.1400000000031</v>
      </c>
      <c r="L4" s="9"/>
      <c r="M4" s="10">
        <v>9379</v>
      </c>
      <c r="N4" s="10"/>
      <c r="O4" s="8">
        <f>IF(AND(ISBLANK(L4),ISBLANK(M4),ISBLANK(N4))=TRUE,"",L4+M4+N4)</f>
        <v>9379</v>
      </c>
      <c r="P4" s="10">
        <v>13265</v>
      </c>
      <c r="Q4" s="8">
        <f>IFERROR(O4/P4*100," ")</f>
        <v>70.704862419901986</v>
      </c>
    </row>
    <row r="5" spans="1:17" ht="23.1" customHeight="1" x14ac:dyDescent="0.3">
      <c r="A5" s="11" t="s">
        <v>23</v>
      </c>
      <c r="B5" s="12">
        <v>424</v>
      </c>
      <c r="C5" s="12">
        <v>543.5</v>
      </c>
      <c r="D5" s="11">
        <v>414</v>
      </c>
      <c r="E5" s="13"/>
      <c r="F5" s="12"/>
      <c r="G5" s="12"/>
      <c r="H5" s="14" t="str">
        <f t="shared" ref="H5:H16" si="0">IFERROR(F5/G5*100," ")</f>
        <v xml:space="preserve"> </v>
      </c>
      <c r="I5" s="15">
        <v>8890.0149999999994</v>
      </c>
      <c r="J5" s="16"/>
      <c r="K5" s="14">
        <f t="shared" ref="K5:K16" si="1">IF(AND(ISBLANK(I5),ISBLANK(J5))=TRUE,"",I5+J5)</f>
        <v>8890.0149999999994</v>
      </c>
      <c r="L5" s="15"/>
      <c r="M5" s="16">
        <v>9009</v>
      </c>
      <c r="N5" s="16"/>
      <c r="O5" s="14">
        <f t="shared" ref="O5:O16" si="2">IF(AND(ISBLANK(L5),ISBLANK(M5),ISBLANK(N5))=TRUE,"",L5+M5+N5)</f>
        <v>9009</v>
      </c>
      <c r="P5" s="16">
        <v>12664</v>
      </c>
      <c r="Q5" s="14">
        <f t="shared" ref="Q5:Q16" si="3">IFERROR(O5/P5*100," ")</f>
        <v>71.13866077068856</v>
      </c>
    </row>
    <row r="6" spans="1:17" ht="23.1" customHeight="1" x14ac:dyDescent="0.3">
      <c r="A6" s="17" t="s">
        <v>24</v>
      </c>
      <c r="B6" s="18">
        <v>469</v>
      </c>
      <c r="C6" s="18">
        <v>643.15</v>
      </c>
      <c r="D6" s="17">
        <v>464</v>
      </c>
      <c r="E6" s="19"/>
      <c r="F6" s="18"/>
      <c r="G6" s="18"/>
      <c r="H6" s="20" t="str">
        <f t="shared" si="0"/>
        <v xml:space="preserve"> </v>
      </c>
      <c r="I6" s="21">
        <v>10301.895999999999</v>
      </c>
      <c r="J6" s="22"/>
      <c r="K6" s="20">
        <f t="shared" si="1"/>
        <v>10301.895999999999</v>
      </c>
      <c r="L6" s="21"/>
      <c r="M6" s="22">
        <v>10510</v>
      </c>
      <c r="N6" s="22"/>
      <c r="O6" s="20">
        <f t="shared" si="2"/>
        <v>10510</v>
      </c>
      <c r="P6" s="22">
        <v>14452</v>
      </c>
      <c r="Q6" s="20">
        <f t="shared" si="3"/>
        <v>72.723498477719346</v>
      </c>
    </row>
    <row r="7" spans="1:17" ht="23.1" customHeight="1" x14ac:dyDescent="0.3">
      <c r="A7" s="11" t="s">
        <v>25</v>
      </c>
      <c r="B7" s="12">
        <v>478</v>
      </c>
      <c r="C7" s="12">
        <v>705</v>
      </c>
      <c r="D7" s="11">
        <v>495</v>
      </c>
      <c r="E7" s="13"/>
      <c r="F7" s="12"/>
      <c r="G7" s="12"/>
      <c r="H7" s="14" t="str">
        <f t="shared" si="0"/>
        <v xml:space="preserve"> </v>
      </c>
      <c r="I7" s="15">
        <v>10181.221000000005</v>
      </c>
      <c r="J7" s="16"/>
      <c r="K7" s="14">
        <f t="shared" si="1"/>
        <v>10181.221000000005</v>
      </c>
      <c r="L7" s="15"/>
      <c r="M7" s="16">
        <v>10782</v>
      </c>
      <c r="N7" s="16"/>
      <c r="O7" s="14">
        <f t="shared" si="2"/>
        <v>10782</v>
      </c>
      <c r="P7" s="16">
        <v>15378</v>
      </c>
      <c r="Q7" s="14">
        <f t="shared" si="3"/>
        <v>70.113148653921186</v>
      </c>
    </row>
    <row r="8" spans="1:17" s="23" customFormat="1" ht="30" customHeight="1" x14ac:dyDescent="0.25">
      <c r="A8" s="17" t="s">
        <v>26</v>
      </c>
      <c r="B8" s="18">
        <v>531</v>
      </c>
      <c r="C8" s="18">
        <v>729.17</v>
      </c>
      <c r="D8" s="17">
        <v>555</v>
      </c>
      <c r="E8" s="19"/>
      <c r="F8" s="18"/>
      <c r="G8" s="18"/>
      <c r="H8" s="20" t="str">
        <f t="shared" si="0"/>
        <v xml:space="preserve"> </v>
      </c>
      <c r="I8" s="21">
        <v>11611.054000000013</v>
      </c>
      <c r="J8" s="22"/>
      <c r="K8" s="20">
        <f t="shared" si="1"/>
        <v>11611.054000000013</v>
      </c>
      <c r="L8" s="21"/>
      <c r="M8" s="22">
        <v>12438</v>
      </c>
      <c r="N8" s="22"/>
      <c r="O8" s="20">
        <f t="shared" si="2"/>
        <v>12438</v>
      </c>
      <c r="P8" s="22">
        <v>17154</v>
      </c>
      <c r="Q8" s="20">
        <f t="shared" si="3"/>
        <v>72.50786988457503</v>
      </c>
    </row>
    <row r="9" spans="1:17" ht="23.1" customHeight="1" x14ac:dyDescent="0.3">
      <c r="A9" s="11" t="s">
        <v>27</v>
      </c>
      <c r="B9" s="12">
        <v>523</v>
      </c>
      <c r="C9" s="12">
        <v>709.5</v>
      </c>
      <c r="D9" s="11">
        <v>543</v>
      </c>
      <c r="E9" s="13"/>
      <c r="F9" s="12"/>
      <c r="G9" s="12"/>
      <c r="H9" s="14" t="str">
        <f t="shared" si="0"/>
        <v xml:space="preserve"> </v>
      </c>
      <c r="I9" s="15">
        <v>11563.853000000003</v>
      </c>
      <c r="J9" s="16"/>
      <c r="K9" s="14">
        <f t="shared" si="1"/>
        <v>11563.853000000003</v>
      </c>
      <c r="L9" s="15"/>
      <c r="M9" s="16">
        <v>12317</v>
      </c>
      <c r="N9" s="16"/>
      <c r="O9" s="14">
        <f t="shared" si="2"/>
        <v>12317</v>
      </c>
      <c r="P9" s="16">
        <v>16661</v>
      </c>
      <c r="Q9" s="14">
        <f t="shared" si="3"/>
        <v>73.927135225976841</v>
      </c>
    </row>
    <row r="10" spans="1:17" ht="23.1" customHeight="1" x14ac:dyDescent="0.3">
      <c r="A10" s="17" t="s">
        <v>28</v>
      </c>
      <c r="B10" s="18">
        <v>477</v>
      </c>
      <c r="C10" s="18">
        <v>644.15</v>
      </c>
      <c r="D10" s="17">
        <v>475</v>
      </c>
      <c r="E10" s="19"/>
      <c r="F10" s="18"/>
      <c r="G10" s="18"/>
      <c r="H10" s="20" t="str">
        <f t="shared" si="0"/>
        <v xml:space="preserve"> </v>
      </c>
      <c r="I10" s="21">
        <v>10296.189</v>
      </c>
      <c r="J10" s="22"/>
      <c r="K10" s="20">
        <f t="shared" si="1"/>
        <v>10296.189</v>
      </c>
      <c r="L10" s="21"/>
      <c r="M10" s="22">
        <v>10625</v>
      </c>
      <c r="N10" s="22"/>
      <c r="O10" s="20">
        <f t="shared" si="2"/>
        <v>10625</v>
      </c>
      <c r="P10" s="22">
        <v>14662</v>
      </c>
      <c r="Q10" s="20">
        <f t="shared" si="3"/>
        <v>72.466239257945702</v>
      </c>
    </row>
    <row r="11" spans="1:17" ht="23.1" customHeight="1" x14ac:dyDescent="0.3">
      <c r="A11" s="11" t="s">
        <v>29</v>
      </c>
      <c r="B11" s="12">
        <v>442</v>
      </c>
      <c r="C11" s="12">
        <v>580.54999999999995</v>
      </c>
      <c r="D11" s="11">
        <v>440</v>
      </c>
      <c r="E11" s="13"/>
      <c r="F11" s="12"/>
      <c r="G11" s="12"/>
      <c r="H11" s="14" t="str">
        <f t="shared" si="0"/>
        <v xml:space="preserve"> </v>
      </c>
      <c r="I11" s="15">
        <v>9335.6449999999932</v>
      </c>
      <c r="J11" s="16"/>
      <c r="K11" s="14">
        <f t="shared" si="1"/>
        <v>9335.6449999999932</v>
      </c>
      <c r="L11" s="15"/>
      <c r="M11" s="16">
        <v>9676</v>
      </c>
      <c r="N11" s="16"/>
      <c r="O11" s="14">
        <f t="shared" si="2"/>
        <v>9676</v>
      </c>
      <c r="P11" s="16">
        <v>13526</v>
      </c>
      <c r="Q11" s="14">
        <f t="shared" si="3"/>
        <v>71.536300458376459</v>
      </c>
    </row>
    <row r="12" spans="1:17" ht="23.1" customHeight="1" x14ac:dyDescent="0.3">
      <c r="A12" s="17" t="s">
        <v>30</v>
      </c>
      <c r="B12" s="18">
        <v>473</v>
      </c>
      <c r="C12" s="18">
        <v>631.04999999999995</v>
      </c>
      <c r="D12" s="17">
        <v>478</v>
      </c>
      <c r="E12" s="19"/>
      <c r="F12" s="18"/>
      <c r="G12" s="18"/>
      <c r="H12" s="20" t="str">
        <f t="shared" si="0"/>
        <v xml:space="preserve"> </v>
      </c>
      <c r="I12" s="21">
        <v>10605.632999999989</v>
      </c>
      <c r="J12" s="22"/>
      <c r="K12" s="20">
        <f t="shared" si="1"/>
        <v>10605.632999999989</v>
      </c>
      <c r="L12" s="21"/>
      <c r="M12" s="22">
        <v>11061</v>
      </c>
      <c r="N12" s="22"/>
      <c r="O12" s="20">
        <f t="shared" si="2"/>
        <v>11061</v>
      </c>
      <c r="P12" s="22">
        <v>14669</v>
      </c>
      <c r="Q12" s="20">
        <f t="shared" si="3"/>
        <v>75.403913013838704</v>
      </c>
    </row>
    <row r="13" spans="1:17" ht="23.1" customHeight="1" x14ac:dyDescent="0.3">
      <c r="A13" s="11" t="s">
        <v>31</v>
      </c>
      <c r="B13" s="12">
        <v>449</v>
      </c>
      <c r="C13" s="12">
        <v>601</v>
      </c>
      <c r="D13" s="11">
        <v>457</v>
      </c>
      <c r="E13" s="13"/>
      <c r="F13" s="12"/>
      <c r="G13" s="12"/>
      <c r="H13" s="14" t="str">
        <f t="shared" si="0"/>
        <v xml:space="preserve"> </v>
      </c>
      <c r="I13" s="15">
        <v>9904.0889999999981</v>
      </c>
      <c r="J13" s="16"/>
      <c r="K13" s="14">
        <f t="shared" si="1"/>
        <v>9904.0889999999981</v>
      </c>
      <c r="L13" s="15"/>
      <c r="M13" s="16">
        <v>10373</v>
      </c>
      <c r="N13" s="16"/>
      <c r="O13" s="14">
        <f t="shared" si="2"/>
        <v>10373</v>
      </c>
      <c r="P13" s="16">
        <v>14012</v>
      </c>
      <c r="Q13" s="14">
        <f t="shared" si="3"/>
        <v>74.029403368541253</v>
      </c>
    </row>
    <row r="14" spans="1:17" ht="23.1" customHeight="1" x14ac:dyDescent="0.3">
      <c r="A14" s="17" t="s">
        <v>32</v>
      </c>
      <c r="B14" s="18">
        <v>486</v>
      </c>
      <c r="C14" s="18">
        <v>652.16999999999996</v>
      </c>
      <c r="D14" s="17">
        <v>493</v>
      </c>
      <c r="E14" s="19"/>
      <c r="F14" s="18"/>
      <c r="G14" s="18"/>
      <c r="H14" s="20" t="str">
        <f t="shared" si="0"/>
        <v xml:space="preserve"> </v>
      </c>
      <c r="I14" s="21">
        <v>10573.576999999996</v>
      </c>
      <c r="J14" s="22"/>
      <c r="K14" s="20">
        <f t="shared" si="1"/>
        <v>10573.576999999996</v>
      </c>
      <c r="L14" s="21"/>
      <c r="M14" s="22">
        <v>11133</v>
      </c>
      <c r="N14" s="22"/>
      <c r="O14" s="20">
        <f t="shared" si="2"/>
        <v>11133</v>
      </c>
      <c r="P14" s="22">
        <v>15168</v>
      </c>
      <c r="Q14" s="20">
        <f t="shared" si="3"/>
        <v>73.397943037974684</v>
      </c>
    </row>
    <row r="15" spans="1:17" ht="23.1" customHeight="1" x14ac:dyDescent="0.3">
      <c r="A15" s="24" t="s">
        <v>33</v>
      </c>
      <c r="B15" s="25">
        <v>515</v>
      </c>
      <c r="C15" s="25">
        <v>700.26666666666665</v>
      </c>
      <c r="D15" s="26">
        <v>527</v>
      </c>
      <c r="E15" s="27"/>
      <c r="F15" s="25"/>
      <c r="G15" s="25"/>
      <c r="H15" s="28" t="str">
        <f t="shared" si="0"/>
        <v xml:space="preserve"> </v>
      </c>
      <c r="I15" s="29">
        <v>11266.709999999994</v>
      </c>
      <c r="J15" s="30"/>
      <c r="K15" s="28">
        <f t="shared" si="1"/>
        <v>11266.709999999994</v>
      </c>
      <c r="L15" s="29"/>
      <c r="M15" s="30">
        <v>11909</v>
      </c>
      <c r="N15" s="30"/>
      <c r="O15" s="28">
        <f t="shared" si="2"/>
        <v>11909</v>
      </c>
      <c r="P15" s="16">
        <v>16043</v>
      </c>
      <c r="Q15" s="14">
        <f t="shared" si="3"/>
        <v>74.231752166053738</v>
      </c>
    </row>
    <row r="16" spans="1:17" ht="23.1" customHeight="1" x14ac:dyDescent="0.3">
      <c r="A16" s="31" t="s">
        <v>34</v>
      </c>
      <c r="B16" s="32">
        <f t="shared" ref="B16:G16" si="4">SUM(B4:B15)</f>
        <v>5711</v>
      </c>
      <c r="C16" s="32">
        <f t="shared" si="4"/>
        <v>7713.7066666666669</v>
      </c>
      <c r="D16" s="32">
        <f t="shared" si="4"/>
        <v>5777</v>
      </c>
      <c r="E16" s="32">
        <f t="shared" si="4"/>
        <v>0</v>
      </c>
      <c r="F16" s="32">
        <f t="shared" si="4"/>
        <v>0</v>
      </c>
      <c r="G16" s="32">
        <f t="shared" si="4"/>
        <v>0</v>
      </c>
      <c r="H16" s="33" t="str">
        <f t="shared" si="0"/>
        <v xml:space="preserve"> </v>
      </c>
      <c r="I16" s="33">
        <f>SUM(I4:I15)</f>
        <v>123773.02199999997</v>
      </c>
      <c r="J16" s="33">
        <f>SUM(J4:J15)</f>
        <v>0</v>
      </c>
      <c r="K16" s="33">
        <f t="shared" si="1"/>
        <v>123773.02199999997</v>
      </c>
      <c r="L16" s="33">
        <f>SUM(L4:L15)</f>
        <v>0</v>
      </c>
      <c r="M16" s="33">
        <f>SUM(M4:M15)</f>
        <v>129212</v>
      </c>
      <c r="N16" s="33">
        <f>SUM(N4:N15)</f>
        <v>0</v>
      </c>
      <c r="O16" s="33">
        <f t="shared" si="2"/>
        <v>129212</v>
      </c>
      <c r="P16" s="34">
        <f>SUM(P4:P15)</f>
        <v>177654</v>
      </c>
      <c r="Q16" s="34">
        <f t="shared" si="3"/>
        <v>72.73238992648632</v>
      </c>
    </row>
    <row r="17" spans="1:17" ht="20.100000000000001" customHeight="1" x14ac:dyDescent="0.3">
      <c r="A17" s="146" t="s">
        <v>35</v>
      </c>
      <c r="B17" s="147"/>
      <c r="C17" s="147"/>
      <c r="D17" s="147"/>
      <c r="E17" s="147"/>
      <c r="F17" s="147"/>
      <c r="G17" s="147"/>
      <c r="H17" s="147"/>
      <c r="I17" s="147"/>
      <c r="J17" s="147"/>
      <c r="K17" s="147"/>
      <c r="L17" s="147"/>
      <c r="M17" s="147"/>
      <c r="N17" s="147"/>
      <c r="O17" s="147"/>
      <c r="P17" s="147"/>
      <c r="Q17" s="147"/>
    </row>
    <row r="18" spans="1:17" s="35" customFormat="1" x14ac:dyDescent="0.25">
      <c r="A18" s="148" t="s">
        <v>36</v>
      </c>
      <c r="B18" s="148"/>
      <c r="C18" s="148"/>
      <c r="D18" s="148"/>
      <c r="E18" s="148"/>
      <c r="F18" s="148"/>
      <c r="G18" s="148"/>
      <c r="H18" s="148"/>
      <c r="I18" s="148"/>
      <c r="J18" s="148"/>
      <c r="K18" s="148"/>
      <c r="L18" s="148"/>
      <c r="M18" s="148"/>
      <c r="N18" s="148"/>
      <c r="O18" s="148"/>
      <c r="P18" s="148"/>
      <c r="Q18" s="148"/>
    </row>
    <row r="19" spans="1:17" s="35" customFormat="1" x14ac:dyDescent="0.25">
      <c r="A19" s="148" t="s">
        <v>37</v>
      </c>
      <c r="B19" s="148"/>
      <c r="C19" s="148"/>
      <c r="D19" s="148"/>
      <c r="E19" s="148"/>
      <c r="F19" s="148"/>
      <c r="G19" s="148"/>
      <c r="H19" s="148"/>
      <c r="I19" s="148"/>
      <c r="J19" s="148"/>
      <c r="K19" s="148"/>
      <c r="L19" s="148"/>
      <c r="M19" s="148"/>
      <c r="N19" s="148"/>
      <c r="O19" s="148"/>
      <c r="P19" s="148"/>
      <c r="Q19" s="148"/>
    </row>
    <row r="20" spans="1:17" ht="51.75" customHeight="1" x14ac:dyDescent="0.3">
      <c r="A20" s="161">
        <v>2022</v>
      </c>
      <c r="B20" s="161"/>
      <c r="C20" s="162" t="s">
        <v>38</v>
      </c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3" t="s">
        <v>1</v>
      </c>
      <c r="P20" s="163"/>
      <c r="Q20" s="164"/>
    </row>
    <row r="21" spans="1:17" ht="33" customHeight="1" x14ac:dyDescent="0.3">
      <c r="A21" s="158" t="s">
        <v>2</v>
      </c>
      <c r="B21" s="158" t="s">
        <v>3</v>
      </c>
      <c r="C21" s="158"/>
      <c r="D21" s="158"/>
      <c r="E21" s="159" t="s">
        <v>4</v>
      </c>
      <c r="F21" s="159" t="s">
        <v>5</v>
      </c>
      <c r="G21" s="159" t="s">
        <v>6</v>
      </c>
      <c r="H21" s="159" t="s">
        <v>7</v>
      </c>
      <c r="I21" s="158" t="s">
        <v>8</v>
      </c>
      <c r="J21" s="158"/>
      <c r="K21" s="158"/>
      <c r="L21" s="158" t="s">
        <v>9</v>
      </c>
      <c r="M21" s="158"/>
      <c r="N21" s="158"/>
      <c r="O21" s="158"/>
      <c r="P21" s="159" t="s">
        <v>10</v>
      </c>
      <c r="Q21" s="159" t="s">
        <v>11</v>
      </c>
    </row>
    <row r="22" spans="1:17" ht="150.75" customHeight="1" x14ac:dyDescent="0.3">
      <c r="A22" s="158"/>
      <c r="B22" s="36" t="s">
        <v>12</v>
      </c>
      <c r="C22" s="36" t="s">
        <v>13</v>
      </c>
      <c r="D22" s="36" t="s">
        <v>14</v>
      </c>
      <c r="E22" s="159"/>
      <c r="F22" s="159"/>
      <c r="G22" s="159"/>
      <c r="H22" s="159"/>
      <c r="I22" s="36" t="s">
        <v>15</v>
      </c>
      <c r="J22" s="37" t="s">
        <v>16</v>
      </c>
      <c r="K22" s="36" t="s">
        <v>17</v>
      </c>
      <c r="L22" s="38" t="s">
        <v>18</v>
      </c>
      <c r="M22" s="38" t="s">
        <v>19</v>
      </c>
      <c r="N22" s="38" t="s">
        <v>20</v>
      </c>
      <c r="O22" s="38" t="s">
        <v>21</v>
      </c>
      <c r="P22" s="160"/>
      <c r="Q22" s="160"/>
    </row>
    <row r="23" spans="1:17" ht="23.1" customHeight="1" x14ac:dyDescent="0.3">
      <c r="A23" s="39" t="s">
        <v>22</v>
      </c>
      <c r="B23" s="40"/>
      <c r="C23" s="41"/>
      <c r="D23" s="42"/>
      <c r="E23" s="40"/>
      <c r="F23" s="41"/>
      <c r="G23" s="41"/>
      <c r="H23" s="43" t="str">
        <f t="shared" ref="H23:H35" si="5">IFERROR(F23/G23*100," ")</f>
        <v xml:space="preserve"> </v>
      </c>
      <c r="I23" s="44"/>
      <c r="J23" s="44"/>
      <c r="K23" s="44" t="str">
        <f>IF(AND(ISBLANK(I23),ISBLANK(J23))=TRUE,"",I23+J23)</f>
        <v/>
      </c>
      <c r="L23" s="45"/>
      <c r="M23" s="44"/>
      <c r="N23" s="44"/>
      <c r="O23" s="46" t="str">
        <f>IF(AND(ISBLANK(L23),ISBLANK(M23),ISBLANK(N23))=TRUE,"",L23+M23+N23)</f>
        <v/>
      </c>
      <c r="P23" s="45"/>
      <c r="Q23" s="46" t="str">
        <f>IFERROR(O23/P23*100," ")</f>
        <v xml:space="preserve"> </v>
      </c>
    </row>
    <row r="24" spans="1:17" ht="23.1" customHeight="1" x14ac:dyDescent="0.3">
      <c r="A24" s="47" t="s">
        <v>23</v>
      </c>
      <c r="B24" s="48"/>
      <c r="C24" s="47"/>
      <c r="D24" s="49"/>
      <c r="E24" s="48"/>
      <c r="F24" s="47"/>
      <c r="G24" s="47"/>
      <c r="H24" s="50" t="str">
        <f t="shared" si="5"/>
        <v xml:space="preserve"> </v>
      </c>
      <c r="I24" s="51"/>
      <c r="J24" s="51"/>
      <c r="K24" s="51" t="str">
        <f t="shared" ref="K24:K35" si="6">IF(AND(ISBLANK(I24),ISBLANK(J24))=TRUE,"",I24+J24)</f>
        <v/>
      </c>
      <c r="L24" s="52"/>
      <c r="M24" s="51"/>
      <c r="N24" s="51"/>
      <c r="O24" s="50" t="str">
        <f t="shared" ref="O24:O35" si="7">IF(AND(ISBLANK(L24),ISBLANK(M24),ISBLANK(N24))=TRUE,"",L24+M24+N24)</f>
        <v/>
      </c>
      <c r="P24" s="52"/>
      <c r="Q24" s="50" t="str">
        <f t="shared" ref="Q24:Q35" si="8">IFERROR(O24/P24*100," ")</f>
        <v xml:space="preserve"> </v>
      </c>
    </row>
    <row r="25" spans="1:17" ht="23.1" customHeight="1" x14ac:dyDescent="0.3">
      <c r="A25" s="39" t="s">
        <v>24</v>
      </c>
      <c r="B25" s="53"/>
      <c r="C25" s="39"/>
      <c r="D25" s="54"/>
      <c r="E25" s="53"/>
      <c r="F25" s="39"/>
      <c r="G25" s="39"/>
      <c r="H25" s="43" t="str">
        <f t="shared" si="5"/>
        <v xml:space="preserve"> </v>
      </c>
      <c r="I25" s="55"/>
      <c r="J25" s="55"/>
      <c r="K25" s="55" t="str">
        <f t="shared" si="6"/>
        <v/>
      </c>
      <c r="L25" s="56"/>
      <c r="M25" s="55"/>
      <c r="N25" s="55"/>
      <c r="O25" s="43" t="str">
        <f t="shared" si="7"/>
        <v/>
      </c>
      <c r="P25" s="56"/>
      <c r="Q25" s="43" t="str">
        <f t="shared" si="8"/>
        <v xml:space="preserve"> </v>
      </c>
    </row>
    <row r="26" spans="1:17" ht="23.1" customHeight="1" x14ac:dyDescent="0.3">
      <c r="A26" s="47" t="s">
        <v>25</v>
      </c>
      <c r="B26" s="48"/>
      <c r="C26" s="47"/>
      <c r="D26" s="49"/>
      <c r="E26" s="48"/>
      <c r="F26" s="47"/>
      <c r="G26" s="47"/>
      <c r="H26" s="50" t="str">
        <f t="shared" si="5"/>
        <v xml:space="preserve"> </v>
      </c>
      <c r="I26" s="51"/>
      <c r="J26" s="51"/>
      <c r="K26" s="51" t="str">
        <f t="shared" si="6"/>
        <v/>
      </c>
      <c r="L26" s="52"/>
      <c r="M26" s="51"/>
      <c r="N26" s="51"/>
      <c r="O26" s="50" t="str">
        <f t="shared" si="7"/>
        <v/>
      </c>
      <c r="P26" s="52"/>
      <c r="Q26" s="50" t="str">
        <f t="shared" si="8"/>
        <v xml:space="preserve"> </v>
      </c>
    </row>
    <row r="27" spans="1:17" s="23" customFormat="1" ht="30" customHeight="1" x14ac:dyDescent="0.25">
      <c r="A27" s="39" t="s">
        <v>26</v>
      </c>
      <c r="B27" s="53"/>
      <c r="C27" s="39"/>
      <c r="D27" s="54"/>
      <c r="E27" s="53"/>
      <c r="F27" s="39"/>
      <c r="G27" s="39"/>
      <c r="H27" s="43" t="str">
        <f t="shared" si="5"/>
        <v xml:space="preserve"> </v>
      </c>
      <c r="I27" s="55"/>
      <c r="J27" s="55"/>
      <c r="K27" s="55" t="str">
        <f t="shared" si="6"/>
        <v/>
      </c>
      <c r="L27" s="56"/>
      <c r="M27" s="55"/>
      <c r="N27" s="55"/>
      <c r="O27" s="43" t="str">
        <f t="shared" si="7"/>
        <v/>
      </c>
      <c r="P27" s="56"/>
      <c r="Q27" s="43" t="str">
        <f t="shared" si="8"/>
        <v xml:space="preserve"> </v>
      </c>
    </row>
    <row r="28" spans="1:17" ht="23.1" customHeight="1" x14ac:dyDescent="0.3">
      <c r="A28" s="47" t="s">
        <v>27</v>
      </c>
      <c r="B28" s="48"/>
      <c r="C28" s="47"/>
      <c r="D28" s="49"/>
      <c r="E28" s="48"/>
      <c r="F28" s="47"/>
      <c r="G28" s="47"/>
      <c r="H28" s="50" t="str">
        <f t="shared" si="5"/>
        <v xml:space="preserve"> </v>
      </c>
      <c r="I28" s="51"/>
      <c r="J28" s="51"/>
      <c r="K28" s="51" t="str">
        <f t="shared" si="6"/>
        <v/>
      </c>
      <c r="L28" s="52"/>
      <c r="M28" s="51"/>
      <c r="N28" s="51"/>
      <c r="O28" s="50" t="str">
        <f t="shared" si="7"/>
        <v/>
      </c>
      <c r="P28" s="52"/>
      <c r="Q28" s="50" t="str">
        <f t="shared" si="8"/>
        <v xml:space="preserve"> </v>
      </c>
    </row>
    <row r="29" spans="1:17" ht="23.1" customHeight="1" x14ac:dyDescent="0.3">
      <c r="A29" s="39" t="s">
        <v>28</v>
      </c>
      <c r="B29" s="53"/>
      <c r="C29" s="39"/>
      <c r="D29" s="54"/>
      <c r="E29" s="53"/>
      <c r="F29" s="39"/>
      <c r="G29" s="39"/>
      <c r="H29" s="43" t="str">
        <f t="shared" si="5"/>
        <v xml:space="preserve"> </v>
      </c>
      <c r="I29" s="55"/>
      <c r="J29" s="55"/>
      <c r="K29" s="55" t="str">
        <f t="shared" si="6"/>
        <v/>
      </c>
      <c r="L29" s="56"/>
      <c r="M29" s="55"/>
      <c r="N29" s="55"/>
      <c r="O29" s="43" t="str">
        <f t="shared" si="7"/>
        <v/>
      </c>
      <c r="P29" s="56"/>
      <c r="Q29" s="43" t="str">
        <f t="shared" si="8"/>
        <v xml:space="preserve"> </v>
      </c>
    </row>
    <row r="30" spans="1:17" ht="23.1" customHeight="1" x14ac:dyDescent="0.3">
      <c r="A30" s="47" t="s">
        <v>29</v>
      </c>
      <c r="B30" s="48"/>
      <c r="C30" s="47"/>
      <c r="D30" s="49"/>
      <c r="E30" s="48"/>
      <c r="F30" s="47"/>
      <c r="G30" s="47"/>
      <c r="H30" s="50" t="str">
        <f t="shared" si="5"/>
        <v xml:space="preserve"> </v>
      </c>
      <c r="I30" s="51"/>
      <c r="J30" s="51"/>
      <c r="K30" s="51" t="str">
        <f t="shared" si="6"/>
        <v/>
      </c>
      <c r="L30" s="52"/>
      <c r="M30" s="51"/>
      <c r="N30" s="51"/>
      <c r="O30" s="50" t="str">
        <f t="shared" si="7"/>
        <v/>
      </c>
      <c r="P30" s="52"/>
      <c r="Q30" s="50" t="str">
        <f t="shared" si="8"/>
        <v xml:space="preserve"> </v>
      </c>
    </row>
    <row r="31" spans="1:17" ht="23.1" customHeight="1" x14ac:dyDescent="0.3">
      <c r="A31" s="39" t="s">
        <v>30</v>
      </c>
      <c r="B31" s="53"/>
      <c r="C31" s="39"/>
      <c r="D31" s="54"/>
      <c r="E31" s="53"/>
      <c r="F31" s="39"/>
      <c r="G31" s="39"/>
      <c r="H31" s="43" t="str">
        <f t="shared" si="5"/>
        <v xml:space="preserve"> </v>
      </c>
      <c r="I31" s="55"/>
      <c r="J31" s="55"/>
      <c r="K31" s="55" t="str">
        <f t="shared" si="6"/>
        <v/>
      </c>
      <c r="L31" s="56"/>
      <c r="M31" s="55"/>
      <c r="N31" s="55"/>
      <c r="O31" s="43" t="str">
        <f t="shared" si="7"/>
        <v/>
      </c>
      <c r="P31" s="56"/>
      <c r="Q31" s="43" t="str">
        <f t="shared" si="8"/>
        <v xml:space="preserve"> </v>
      </c>
    </row>
    <row r="32" spans="1:17" ht="23.1" customHeight="1" x14ac:dyDescent="0.3">
      <c r="A32" s="47" t="s">
        <v>31</v>
      </c>
      <c r="B32" s="48"/>
      <c r="C32" s="47"/>
      <c r="D32" s="49"/>
      <c r="E32" s="48"/>
      <c r="F32" s="47"/>
      <c r="G32" s="47"/>
      <c r="H32" s="50" t="str">
        <f t="shared" si="5"/>
        <v xml:space="preserve"> </v>
      </c>
      <c r="I32" s="51"/>
      <c r="J32" s="51"/>
      <c r="K32" s="51" t="str">
        <f t="shared" si="6"/>
        <v/>
      </c>
      <c r="L32" s="52"/>
      <c r="M32" s="51"/>
      <c r="N32" s="51"/>
      <c r="O32" s="50" t="str">
        <f t="shared" si="7"/>
        <v/>
      </c>
      <c r="P32" s="52"/>
      <c r="Q32" s="50" t="str">
        <f t="shared" si="8"/>
        <v xml:space="preserve"> </v>
      </c>
    </row>
    <row r="33" spans="1:17" ht="23.1" customHeight="1" x14ac:dyDescent="0.3">
      <c r="A33" s="39" t="s">
        <v>32</v>
      </c>
      <c r="B33" s="53"/>
      <c r="C33" s="39"/>
      <c r="D33" s="54"/>
      <c r="E33" s="53"/>
      <c r="F33" s="39"/>
      <c r="G33" s="39"/>
      <c r="H33" s="43" t="str">
        <f t="shared" si="5"/>
        <v xml:space="preserve"> </v>
      </c>
      <c r="I33" s="55"/>
      <c r="J33" s="55"/>
      <c r="K33" s="55" t="str">
        <f t="shared" si="6"/>
        <v/>
      </c>
      <c r="L33" s="56"/>
      <c r="M33" s="55"/>
      <c r="N33" s="55"/>
      <c r="O33" s="43" t="str">
        <f t="shared" si="7"/>
        <v/>
      </c>
      <c r="P33" s="56"/>
      <c r="Q33" s="43" t="str">
        <f t="shared" si="8"/>
        <v xml:space="preserve"> </v>
      </c>
    </row>
    <row r="34" spans="1:17" ht="23.1" customHeight="1" x14ac:dyDescent="0.3">
      <c r="A34" s="47" t="s">
        <v>33</v>
      </c>
      <c r="B34" s="57"/>
      <c r="C34" s="58"/>
      <c r="D34" s="59"/>
      <c r="E34" s="57"/>
      <c r="F34" s="58"/>
      <c r="G34" s="58"/>
      <c r="H34" s="50" t="str">
        <f t="shared" si="5"/>
        <v xml:space="preserve"> </v>
      </c>
      <c r="I34" s="60"/>
      <c r="J34" s="60"/>
      <c r="K34" s="60" t="str">
        <f t="shared" si="6"/>
        <v/>
      </c>
      <c r="L34" s="61"/>
      <c r="M34" s="60"/>
      <c r="N34" s="60"/>
      <c r="O34" s="62" t="str">
        <f t="shared" si="7"/>
        <v/>
      </c>
      <c r="P34" s="61"/>
      <c r="Q34" s="62" t="str">
        <f t="shared" si="8"/>
        <v xml:space="preserve"> </v>
      </c>
    </row>
    <row r="35" spans="1:17" ht="23.1" customHeight="1" x14ac:dyDescent="0.3">
      <c r="A35" s="63" t="s">
        <v>34</v>
      </c>
      <c r="B35" s="64">
        <f t="shared" ref="B35:G35" si="9">SUM(B23:B34)</f>
        <v>0</v>
      </c>
      <c r="C35" s="64">
        <f t="shared" si="9"/>
        <v>0</v>
      </c>
      <c r="D35" s="64">
        <f t="shared" si="9"/>
        <v>0</v>
      </c>
      <c r="E35" s="64">
        <f t="shared" si="9"/>
        <v>0</v>
      </c>
      <c r="F35" s="64">
        <f t="shared" si="9"/>
        <v>0</v>
      </c>
      <c r="G35" s="64">
        <f t="shared" si="9"/>
        <v>0</v>
      </c>
      <c r="H35" s="65" t="str">
        <f t="shared" si="5"/>
        <v xml:space="preserve"> </v>
      </c>
      <c r="I35" s="66">
        <f>SUM(I23:I34)</f>
        <v>0</v>
      </c>
      <c r="J35" s="66">
        <f>SUM(J23:J34)</f>
        <v>0</v>
      </c>
      <c r="K35" s="66">
        <f t="shared" si="6"/>
        <v>0</v>
      </c>
      <c r="L35" s="66">
        <f>SUM(L23:L34)</f>
        <v>0</v>
      </c>
      <c r="M35" s="66">
        <f>SUM(M23:M34)</f>
        <v>0</v>
      </c>
      <c r="N35" s="66">
        <f>SUM(N23:N34)</f>
        <v>0</v>
      </c>
      <c r="O35" s="66">
        <f t="shared" si="7"/>
        <v>0</v>
      </c>
      <c r="P35" s="66">
        <f>SUM(P23:P34)</f>
        <v>0</v>
      </c>
      <c r="Q35" s="66" t="str">
        <f t="shared" si="8"/>
        <v xml:space="preserve"> </v>
      </c>
    </row>
    <row r="36" spans="1:17" x14ac:dyDescent="0.3">
      <c r="A36" s="146" t="s">
        <v>35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7"/>
      <c r="N36" s="147"/>
      <c r="O36" s="147"/>
      <c r="P36" s="147"/>
      <c r="Q36" s="147"/>
    </row>
    <row r="37" spans="1:17" x14ac:dyDescent="0.3">
      <c r="A37" s="148" t="s">
        <v>36</v>
      </c>
      <c r="B37" s="148"/>
      <c r="C37" s="148"/>
      <c r="D37" s="148"/>
      <c r="E37" s="148"/>
      <c r="F37" s="148"/>
      <c r="G37" s="148"/>
      <c r="H37" s="148"/>
      <c r="I37" s="148"/>
      <c r="J37" s="148"/>
      <c r="K37" s="148"/>
      <c r="L37" s="148"/>
      <c r="M37" s="148"/>
      <c r="N37" s="148"/>
      <c r="O37" s="148"/>
      <c r="P37" s="148"/>
      <c r="Q37" s="148"/>
    </row>
    <row r="38" spans="1:17" x14ac:dyDescent="0.3">
      <c r="A38" s="148" t="s">
        <v>37</v>
      </c>
      <c r="B38" s="148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</row>
    <row r="39" spans="1:17" ht="40.5" customHeight="1" x14ac:dyDescent="0.3">
      <c r="A39" s="155">
        <v>2022</v>
      </c>
      <c r="B39" s="155"/>
      <c r="C39" s="156" t="s">
        <v>39</v>
      </c>
      <c r="D39" s="156"/>
      <c r="E39" s="156"/>
      <c r="F39" s="156"/>
      <c r="G39" s="156"/>
      <c r="H39" s="156"/>
      <c r="I39" s="156"/>
      <c r="J39" s="156"/>
      <c r="K39" s="156"/>
      <c r="L39" s="156"/>
      <c r="M39" s="156"/>
      <c r="N39" s="156"/>
      <c r="O39" s="157" t="s">
        <v>1</v>
      </c>
      <c r="P39" s="157"/>
      <c r="Q39" s="157"/>
    </row>
    <row r="40" spans="1:17" ht="28.9" customHeight="1" x14ac:dyDescent="0.3">
      <c r="A40" s="152" t="s">
        <v>2</v>
      </c>
      <c r="B40" s="152" t="s">
        <v>3</v>
      </c>
      <c r="C40" s="152"/>
      <c r="D40" s="152"/>
      <c r="E40" s="153" t="s">
        <v>4</v>
      </c>
      <c r="F40" s="153" t="s">
        <v>5</v>
      </c>
      <c r="G40" s="153" t="s">
        <v>6</v>
      </c>
      <c r="H40" s="153" t="s">
        <v>7</v>
      </c>
      <c r="I40" s="152" t="s">
        <v>8</v>
      </c>
      <c r="J40" s="152"/>
      <c r="K40" s="152"/>
      <c r="L40" s="152" t="s">
        <v>9</v>
      </c>
      <c r="M40" s="152"/>
      <c r="N40" s="152"/>
      <c r="O40" s="152"/>
      <c r="P40" s="153" t="s">
        <v>10</v>
      </c>
      <c r="Q40" s="153" t="s">
        <v>11</v>
      </c>
    </row>
    <row r="41" spans="1:17" ht="178.5" customHeight="1" x14ac:dyDescent="0.3">
      <c r="A41" s="152"/>
      <c r="B41" s="67" t="s">
        <v>12</v>
      </c>
      <c r="C41" s="67" t="s">
        <v>13</v>
      </c>
      <c r="D41" s="67" t="s">
        <v>14</v>
      </c>
      <c r="E41" s="154"/>
      <c r="F41" s="154"/>
      <c r="G41" s="154"/>
      <c r="H41" s="154"/>
      <c r="I41" s="67" t="s">
        <v>15</v>
      </c>
      <c r="J41" s="68" t="s">
        <v>16</v>
      </c>
      <c r="K41" s="67" t="s">
        <v>17</v>
      </c>
      <c r="L41" s="67" t="s">
        <v>18</v>
      </c>
      <c r="M41" s="67" t="s">
        <v>19</v>
      </c>
      <c r="N41" s="67" t="s">
        <v>20</v>
      </c>
      <c r="O41" s="67" t="s">
        <v>21</v>
      </c>
      <c r="P41" s="154"/>
      <c r="Q41" s="154"/>
    </row>
    <row r="42" spans="1:17" ht="25.5" customHeight="1" x14ac:dyDescent="0.3">
      <c r="A42" s="69" t="s">
        <v>22</v>
      </c>
      <c r="B42" s="70">
        <v>111</v>
      </c>
      <c r="C42" s="71">
        <v>198.1</v>
      </c>
      <c r="D42" s="72">
        <v>133</v>
      </c>
      <c r="E42" s="70"/>
      <c r="F42" s="71"/>
      <c r="G42" s="71"/>
      <c r="H42" s="73" t="str">
        <f t="shared" ref="H42:H54" si="10">IFERROR(F42/G42*100," ")</f>
        <v xml:space="preserve"> </v>
      </c>
      <c r="I42" s="74">
        <v>2246.2179999999998</v>
      </c>
      <c r="J42" s="75"/>
      <c r="K42" s="73">
        <f>IF(AND(ISBLANK(I42),ISBLANK(J42))=TRUE,"",I42+J42)</f>
        <v>2246.2179999999998</v>
      </c>
      <c r="L42" s="74"/>
      <c r="M42" s="75">
        <v>2664</v>
      </c>
      <c r="N42" s="75"/>
      <c r="O42" s="73">
        <f>IF(AND(ISBLANK(L42),ISBLANK(M42),ISBLANK(N42))=TRUE,"",L42+M42+N42)</f>
        <v>2664</v>
      </c>
      <c r="P42" s="74">
        <v>4110</v>
      </c>
      <c r="Q42" s="73">
        <f>IFERROR(O42/P42*100," ")</f>
        <v>64.81751824817519</v>
      </c>
    </row>
    <row r="43" spans="1:17" ht="25.5" customHeight="1" x14ac:dyDescent="0.3">
      <c r="A43" s="76" t="s">
        <v>23</v>
      </c>
      <c r="B43" s="77">
        <v>103</v>
      </c>
      <c r="C43" s="78">
        <v>177.6</v>
      </c>
      <c r="D43" s="79">
        <v>119</v>
      </c>
      <c r="E43" s="77"/>
      <c r="F43" s="78"/>
      <c r="G43" s="78"/>
      <c r="H43" s="80" t="str">
        <f t="shared" si="10"/>
        <v xml:space="preserve"> </v>
      </c>
      <c r="I43" s="81">
        <v>2030.6960000000001</v>
      </c>
      <c r="J43" s="82"/>
      <c r="K43" s="80">
        <f t="shared" ref="K43:K54" si="11">IF(AND(ISBLANK(I43),ISBLANK(J43))=TRUE,"",I43+J43)</f>
        <v>2030.6960000000001</v>
      </c>
      <c r="L43" s="81"/>
      <c r="M43" s="82">
        <v>2369</v>
      </c>
      <c r="N43" s="82"/>
      <c r="O43" s="80">
        <f t="shared" ref="O43:O54" si="12">IF(AND(ISBLANK(L43),ISBLANK(M43),ISBLANK(N43))=TRUE,"",L43+M43+N43)</f>
        <v>2369</v>
      </c>
      <c r="P43" s="81">
        <v>3789</v>
      </c>
      <c r="Q43" s="80">
        <f t="shared" ref="Q43:Q54" si="13">IFERROR(O43/P43*100," ")</f>
        <v>62.523093164423329</v>
      </c>
    </row>
    <row r="44" spans="1:17" ht="25.5" customHeight="1" x14ac:dyDescent="0.3">
      <c r="A44" s="69" t="s">
        <v>24</v>
      </c>
      <c r="B44" s="83">
        <v>113</v>
      </c>
      <c r="C44" s="84">
        <v>163.55000000000001</v>
      </c>
      <c r="D44" s="85">
        <v>133</v>
      </c>
      <c r="E44" s="83"/>
      <c r="F44" s="84"/>
      <c r="G44" s="84"/>
      <c r="H44" s="86" t="str">
        <f t="shared" si="10"/>
        <v xml:space="preserve"> </v>
      </c>
      <c r="I44" s="87">
        <v>2225.59</v>
      </c>
      <c r="J44" s="88"/>
      <c r="K44" s="86">
        <f t="shared" si="11"/>
        <v>2225.59</v>
      </c>
      <c r="L44" s="87"/>
      <c r="M44" s="88">
        <v>2635</v>
      </c>
      <c r="N44" s="88"/>
      <c r="O44" s="86">
        <f t="shared" si="12"/>
        <v>2635</v>
      </c>
      <c r="P44" s="87">
        <v>4203</v>
      </c>
      <c r="Q44" s="86">
        <f t="shared" si="13"/>
        <v>62.693314299310018</v>
      </c>
    </row>
    <row r="45" spans="1:17" ht="25.5" customHeight="1" x14ac:dyDescent="0.3">
      <c r="A45" s="76" t="s">
        <v>25</v>
      </c>
      <c r="B45" s="77">
        <v>56</v>
      </c>
      <c r="C45" s="89">
        <v>97.3</v>
      </c>
      <c r="D45" s="79">
        <v>72</v>
      </c>
      <c r="E45" s="77"/>
      <c r="F45" s="78"/>
      <c r="G45" s="78"/>
      <c r="H45" s="80" t="str">
        <f t="shared" si="10"/>
        <v xml:space="preserve"> </v>
      </c>
      <c r="I45" s="81">
        <v>844.96900000000005</v>
      </c>
      <c r="J45" s="82"/>
      <c r="K45" s="80">
        <f t="shared" si="11"/>
        <v>844.96900000000005</v>
      </c>
      <c r="L45" s="81"/>
      <c r="M45" s="82">
        <v>1046</v>
      </c>
      <c r="N45" s="82"/>
      <c r="O45" s="80">
        <f t="shared" si="12"/>
        <v>1046</v>
      </c>
      <c r="P45" s="81">
        <v>2192</v>
      </c>
      <c r="Q45" s="80">
        <f t="shared" si="13"/>
        <v>47.71897810218978</v>
      </c>
    </row>
    <row r="46" spans="1:17" ht="25.5" customHeight="1" x14ac:dyDescent="0.3">
      <c r="A46" s="69" t="s">
        <v>26</v>
      </c>
      <c r="B46" s="83">
        <v>54</v>
      </c>
      <c r="C46" s="90">
        <v>83</v>
      </c>
      <c r="D46" s="85">
        <v>64</v>
      </c>
      <c r="E46" s="83"/>
      <c r="F46" s="84"/>
      <c r="G46" s="84"/>
      <c r="H46" s="86" t="str">
        <f t="shared" si="10"/>
        <v xml:space="preserve"> </v>
      </c>
      <c r="I46" s="87">
        <v>951.73299999999995</v>
      </c>
      <c r="J46" s="88"/>
      <c r="K46" s="86">
        <f t="shared" si="11"/>
        <v>951.73299999999995</v>
      </c>
      <c r="L46" s="87"/>
      <c r="M46" s="88">
        <v>1104</v>
      </c>
      <c r="N46" s="88"/>
      <c r="O46" s="86">
        <f t="shared" si="12"/>
        <v>1104</v>
      </c>
      <c r="P46" s="87">
        <v>1943</v>
      </c>
      <c r="Q46" s="86">
        <f t="shared" si="13"/>
        <v>56.819351518270707</v>
      </c>
    </row>
    <row r="47" spans="1:17" ht="25.5" customHeight="1" x14ac:dyDescent="0.3">
      <c r="A47" s="76" t="s">
        <v>27</v>
      </c>
      <c r="B47" s="91">
        <v>66</v>
      </c>
      <c r="C47" s="92">
        <v>108.1</v>
      </c>
      <c r="D47" s="79">
        <v>79</v>
      </c>
      <c r="E47" s="91"/>
      <c r="F47" s="92"/>
      <c r="G47" s="92"/>
      <c r="H47" s="80" t="str">
        <f t="shared" si="10"/>
        <v xml:space="preserve"> </v>
      </c>
      <c r="I47" s="93">
        <v>1159.0249999999999</v>
      </c>
      <c r="J47" s="94"/>
      <c r="K47" s="80">
        <f t="shared" si="11"/>
        <v>1159.0249999999999</v>
      </c>
      <c r="L47" s="93"/>
      <c r="M47" s="94">
        <v>1377</v>
      </c>
      <c r="N47" s="94"/>
      <c r="O47" s="80">
        <f t="shared" si="12"/>
        <v>1377</v>
      </c>
      <c r="P47" s="93">
        <v>2452</v>
      </c>
      <c r="Q47" s="80">
        <f t="shared" si="13"/>
        <v>56.158238172920058</v>
      </c>
    </row>
    <row r="48" spans="1:17" s="102" customFormat="1" ht="25.5" customHeight="1" x14ac:dyDescent="0.3">
      <c r="A48" s="95" t="s">
        <v>28</v>
      </c>
      <c r="B48" s="96">
        <v>140</v>
      </c>
      <c r="C48" s="97">
        <v>222.05</v>
      </c>
      <c r="D48" s="98">
        <v>173</v>
      </c>
      <c r="E48" s="96"/>
      <c r="F48" s="97"/>
      <c r="G48" s="97"/>
      <c r="H48" s="99" t="str">
        <f t="shared" si="10"/>
        <v xml:space="preserve"> </v>
      </c>
      <c r="I48" s="100">
        <v>2860.7180000000017</v>
      </c>
      <c r="J48" s="101"/>
      <c r="K48" s="99">
        <f t="shared" si="11"/>
        <v>2860.7180000000017</v>
      </c>
      <c r="L48" s="100"/>
      <c r="M48" s="101">
        <v>3553</v>
      </c>
      <c r="N48" s="101"/>
      <c r="O48" s="99">
        <f t="shared" si="12"/>
        <v>3553</v>
      </c>
      <c r="P48" s="100">
        <v>5327</v>
      </c>
      <c r="Q48" s="99">
        <f t="shared" si="13"/>
        <v>66.697953820161445</v>
      </c>
    </row>
    <row r="49" spans="1:17" ht="25.5" customHeight="1" x14ac:dyDescent="0.3">
      <c r="A49" s="76" t="s">
        <v>29</v>
      </c>
      <c r="B49" s="91">
        <v>119</v>
      </c>
      <c r="C49" s="92">
        <v>185.3</v>
      </c>
      <c r="D49" s="103">
        <v>146</v>
      </c>
      <c r="E49" s="91"/>
      <c r="F49" s="92"/>
      <c r="G49" s="92"/>
      <c r="H49" s="80" t="str">
        <f t="shared" si="10"/>
        <v xml:space="preserve"> </v>
      </c>
      <c r="I49" s="93">
        <v>2335.4259999999999</v>
      </c>
      <c r="J49" s="94"/>
      <c r="K49" s="80">
        <f t="shared" si="11"/>
        <v>2335.4259999999999</v>
      </c>
      <c r="L49" s="93"/>
      <c r="M49" s="94">
        <v>2791</v>
      </c>
      <c r="N49" s="94"/>
      <c r="O49" s="80">
        <f t="shared" si="12"/>
        <v>2791</v>
      </c>
      <c r="P49" s="93">
        <v>4556</v>
      </c>
      <c r="Q49" s="80">
        <f t="shared" si="13"/>
        <v>61.259877085162429</v>
      </c>
    </row>
    <row r="50" spans="1:17" ht="25.5" customHeight="1" x14ac:dyDescent="0.3">
      <c r="A50" s="69" t="s">
        <v>30</v>
      </c>
      <c r="B50" s="104">
        <v>110</v>
      </c>
      <c r="C50" s="105">
        <v>181.5</v>
      </c>
      <c r="D50" s="106">
        <v>132</v>
      </c>
      <c r="E50" s="104"/>
      <c r="F50" s="105"/>
      <c r="G50" s="105"/>
      <c r="H50" s="86" t="str">
        <f t="shared" si="10"/>
        <v xml:space="preserve"> </v>
      </c>
      <c r="I50" s="107">
        <v>2160.400000000001</v>
      </c>
      <c r="J50" s="108"/>
      <c r="K50" s="86">
        <f t="shared" si="11"/>
        <v>2160.400000000001</v>
      </c>
      <c r="L50" s="107"/>
      <c r="M50" s="108">
        <v>2578</v>
      </c>
      <c r="N50" s="108"/>
      <c r="O50" s="86">
        <f t="shared" si="12"/>
        <v>2578</v>
      </c>
      <c r="P50" s="107">
        <v>4061</v>
      </c>
      <c r="Q50" s="86">
        <f t="shared" si="13"/>
        <v>63.481901009603547</v>
      </c>
    </row>
    <row r="51" spans="1:17" ht="25.5" customHeight="1" x14ac:dyDescent="0.3">
      <c r="A51" s="76" t="s">
        <v>31</v>
      </c>
      <c r="B51" s="91">
        <v>114</v>
      </c>
      <c r="C51" s="92">
        <v>187.55</v>
      </c>
      <c r="D51" s="103">
        <v>142</v>
      </c>
      <c r="E51" s="91"/>
      <c r="F51" s="92"/>
      <c r="G51" s="92"/>
      <c r="H51" s="80" t="str">
        <f t="shared" si="10"/>
        <v xml:space="preserve"> </v>
      </c>
      <c r="I51" s="93">
        <v>2491.8140000000017</v>
      </c>
      <c r="J51" s="94"/>
      <c r="K51" s="80">
        <f t="shared" si="11"/>
        <v>2491.8140000000017</v>
      </c>
      <c r="L51" s="93"/>
      <c r="M51" s="94">
        <v>3149</v>
      </c>
      <c r="N51" s="94"/>
      <c r="O51" s="80">
        <f t="shared" si="12"/>
        <v>3149</v>
      </c>
      <c r="P51" s="93">
        <v>4389</v>
      </c>
      <c r="Q51" s="80">
        <f t="shared" si="13"/>
        <v>71.747550694919113</v>
      </c>
    </row>
    <row r="52" spans="1:17" ht="25.5" customHeight="1" x14ac:dyDescent="0.3">
      <c r="A52" s="69" t="s">
        <v>32</v>
      </c>
      <c r="B52" s="104">
        <v>70</v>
      </c>
      <c r="C52" s="105">
        <v>114.33</v>
      </c>
      <c r="D52" s="106">
        <v>83</v>
      </c>
      <c r="E52" s="104"/>
      <c r="F52" s="105"/>
      <c r="G52" s="105"/>
      <c r="H52" s="86" t="str">
        <f t="shared" si="10"/>
        <v xml:space="preserve"> </v>
      </c>
      <c r="I52" s="107">
        <v>1471.7809999999997</v>
      </c>
      <c r="J52" s="108"/>
      <c r="K52" s="86">
        <f t="shared" si="11"/>
        <v>1471.7809999999997</v>
      </c>
      <c r="L52" s="107"/>
      <c r="M52" s="108">
        <v>1771</v>
      </c>
      <c r="N52" s="108"/>
      <c r="O52" s="86">
        <f t="shared" si="12"/>
        <v>1771</v>
      </c>
      <c r="P52" s="107">
        <v>2549</v>
      </c>
      <c r="Q52" s="86">
        <f t="shared" si="13"/>
        <v>69.478226755590427</v>
      </c>
    </row>
    <row r="53" spans="1:17" ht="25.5" customHeight="1" x14ac:dyDescent="0.3">
      <c r="A53" s="76" t="s">
        <v>33</v>
      </c>
      <c r="B53" s="109">
        <v>70</v>
      </c>
      <c r="C53" s="110">
        <v>112.13333333333333</v>
      </c>
      <c r="D53" s="111">
        <v>86</v>
      </c>
      <c r="E53" s="109"/>
      <c r="F53" s="110"/>
      <c r="G53" s="110"/>
      <c r="H53" s="112" t="str">
        <f t="shared" si="10"/>
        <v xml:space="preserve"> </v>
      </c>
      <c r="I53" s="113">
        <v>1354.5510000000008</v>
      </c>
      <c r="J53" s="114"/>
      <c r="K53" s="112">
        <f t="shared" si="11"/>
        <v>1354.5510000000008</v>
      </c>
      <c r="L53" s="113"/>
      <c r="M53" s="114">
        <v>1666</v>
      </c>
      <c r="N53" s="114"/>
      <c r="O53" s="112">
        <f t="shared" si="12"/>
        <v>1666</v>
      </c>
      <c r="P53" s="113">
        <v>2672</v>
      </c>
      <c r="Q53" s="112">
        <f t="shared" si="13"/>
        <v>62.350299401197603</v>
      </c>
    </row>
    <row r="54" spans="1:17" ht="25.5" customHeight="1" x14ac:dyDescent="0.3">
      <c r="A54" s="115" t="s">
        <v>34</v>
      </c>
      <c r="B54" s="116">
        <f t="shared" ref="B54:G54" si="14">SUM(B42:B53)</f>
        <v>1126</v>
      </c>
      <c r="C54" s="116">
        <f t="shared" si="14"/>
        <v>1830.5133333333333</v>
      </c>
      <c r="D54" s="116">
        <f t="shared" si="14"/>
        <v>1362</v>
      </c>
      <c r="E54" s="116">
        <f t="shared" si="14"/>
        <v>0</v>
      </c>
      <c r="F54" s="116">
        <f t="shared" si="14"/>
        <v>0</v>
      </c>
      <c r="G54" s="116">
        <f t="shared" si="14"/>
        <v>0</v>
      </c>
      <c r="H54" s="117" t="str">
        <f t="shared" si="10"/>
        <v xml:space="preserve"> </v>
      </c>
      <c r="I54" s="117">
        <f>SUM(I42:I53)</f>
        <v>22132.921000000002</v>
      </c>
      <c r="J54" s="117">
        <f>SUM(J42:J53)</f>
        <v>0</v>
      </c>
      <c r="K54" s="117">
        <f t="shared" si="11"/>
        <v>22132.921000000002</v>
      </c>
      <c r="L54" s="117">
        <f>SUM(L42:L53)</f>
        <v>0</v>
      </c>
      <c r="M54" s="117">
        <f>SUM(M42:M53)</f>
        <v>26703</v>
      </c>
      <c r="N54" s="117">
        <f>SUM(N42:N53)</f>
        <v>0</v>
      </c>
      <c r="O54" s="117">
        <f t="shared" si="12"/>
        <v>26703</v>
      </c>
      <c r="P54" s="118">
        <f>SUM(P42:P53)</f>
        <v>42243</v>
      </c>
      <c r="Q54" s="117">
        <f t="shared" si="13"/>
        <v>63.2128399971593</v>
      </c>
    </row>
    <row r="55" spans="1:17" ht="22.5" customHeight="1" x14ac:dyDescent="0.3">
      <c r="A55" s="146" t="s">
        <v>35</v>
      </c>
      <c r="B55" s="147"/>
      <c r="C55" s="147"/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147"/>
      <c r="Q55" s="147"/>
    </row>
    <row r="56" spans="1:17" ht="22.5" customHeight="1" x14ac:dyDescent="0.3">
      <c r="A56" s="148" t="s">
        <v>36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</row>
    <row r="57" spans="1:17" ht="22.5" customHeight="1" x14ac:dyDescent="0.3">
      <c r="A57" s="148" t="s">
        <v>37</v>
      </c>
      <c r="B57" s="148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</row>
    <row r="58" spans="1:17" ht="47.25" customHeight="1" x14ac:dyDescent="0.3">
      <c r="A58" s="149">
        <v>2022</v>
      </c>
      <c r="B58" s="149"/>
      <c r="C58" s="150" t="s">
        <v>40</v>
      </c>
      <c r="D58" s="150"/>
      <c r="E58" s="150"/>
      <c r="F58" s="150"/>
      <c r="G58" s="150"/>
      <c r="H58" s="150"/>
      <c r="I58" s="150"/>
      <c r="J58" s="150"/>
      <c r="K58" s="150"/>
      <c r="L58" s="150"/>
      <c r="M58" s="150"/>
      <c r="N58" s="150"/>
      <c r="O58" s="151" t="s">
        <v>1</v>
      </c>
      <c r="P58" s="151"/>
      <c r="Q58" s="151"/>
    </row>
    <row r="59" spans="1:17" ht="28.9" customHeight="1" x14ac:dyDescent="0.3">
      <c r="A59" s="143" t="s">
        <v>2</v>
      </c>
      <c r="B59" s="143" t="s">
        <v>3</v>
      </c>
      <c r="C59" s="143"/>
      <c r="D59" s="143"/>
      <c r="E59" s="144" t="s">
        <v>4</v>
      </c>
      <c r="F59" s="144" t="s">
        <v>5</v>
      </c>
      <c r="G59" s="144" t="s">
        <v>6</v>
      </c>
      <c r="H59" s="144" t="s">
        <v>7</v>
      </c>
      <c r="I59" s="143" t="s">
        <v>8</v>
      </c>
      <c r="J59" s="143"/>
      <c r="K59" s="143"/>
      <c r="L59" s="143" t="s">
        <v>9</v>
      </c>
      <c r="M59" s="143"/>
      <c r="N59" s="143"/>
      <c r="O59" s="143"/>
      <c r="P59" s="144" t="s">
        <v>10</v>
      </c>
      <c r="Q59" s="144" t="s">
        <v>11</v>
      </c>
    </row>
    <row r="60" spans="1:17" ht="164.25" customHeight="1" x14ac:dyDescent="0.3">
      <c r="A60" s="143"/>
      <c r="B60" s="119" t="s">
        <v>12</v>
      </c>
      <c r="C60" s="119" t="s">
        <v>13</v>
      </c>
      <c r="D60" s="119" t="s">
        <v>14</v>
      </c>
      <c r="E60" s="145"/>
      <c r="F60" s="145"/>
      <c r="G60" s="145"/>
      <c r="H60" s="145"/>
      <c r="I60" s="119" t="s">
        <v>15</v>
      </c>
      <c r="J60" s="120" t="s">
        <v>16</v>
      </c>
      <c r="K60" s="119" t="s">
        <v>17</v>
      </c>
      <c r="L60" s="119" t="s">
        <v>18</v>
      </c>
      <c r="M60" s="119" t="s">
        <v>19</v>
      </c>
      <c r="N60" s="119" t="s">
        <v>20</v>
      </c>
      <c r="O60" s="119" t="s">
        <v>21</v>
      </c>
      <c r="P60" s="145"/>
      <c r="Q60" s="145"/>
    </row>
    <row r="61" spans="1:17" ht="24.75" customHeight="1" x14ac:dyDescent="0.3">
      <c r="A61" s="121" t="s">
        <v>22</v>
      </c>
      <c r="B61" s="122">
        <v>15</v>
      </c>
      <c r="C61" s="123">
        <v>29.45</v>
      </c>
      <c r="D61" s="124">
        <v>32</v>
      </c>
      <c r="E61" s="122"/>
      <c r="F61" s="123"/>
      <c r="G61" s="123"/>
      <c r="H61" s="125" t="str">
        <f t="shared" ref="H61:H73" si="15">IFERROR(F61/G61*100," ")</f>
        <v xml:space="preserve"> </v>
      </c>
      <c r="I61" s="126">
        <v>138.375</v>
      </c>
      <c r="J61" s="127"/>
      <c r="K61" s="127">
        <f>IF(AND(ISBLANK(I61),ISBLANK(J61))=TRUE,"",I61+J61)</f>
        <v>138.375</v>
      </c>
      <c r="L61" s="126"/>
      <c r="M61" s="127">
        <v>512</v>
      </c>
      <c r="N61" s="127"/>
      <c r="O61" s="128">
        <f>IF(AND(ISBLANK(L61),ISBLANK(M61),ISBLANK(N61))=TRUE,"",L61+M61+N61)</f>
        <v>512</v>
      </c>
      <c r="P61" s="127">
        <v>943</v>
      </c>
      <c r="Q61" s="125">
        <f>IFERROR(O61/P61*100," ")</f>
        <v>54.294803817603402</v>
      </c>
    </row>
    <row r="62" spans="1:17" ht="24.75" customHeight="1" x14ac:dyDescent="0.3">
      <c r="A62" s="76" t="s">
        <v>23</v>
      </c>
      <c r="B62" s="91">
        <v>6</v>
      </c>
      <c r="C62" s="92">
        <v>20.5</v>
      </c>
      <c r="D62" s="103">
        <v>16</v>
      </c>
      <c r="E62" s="91"/>
      <c r="F62" s="92"/>
      <c r="G62" s="92"/>
      <c r="H62" s="129" t="str">
        <f t="shared" si="15"/>
        <v xml:space="preserve"> </v>
      </c>
      <c r="I62" s="93">
        <v>71.445999999999998</v>
      </c>
      <c r="J62" s="94"/>
      <c r="K62" s="94">
        <f t="shared" ref="K62:K73" si="16">IF(AND(ISBLANK(I62),ISBLANK(J62))=TRUE,"",I62+J62)</f>
        <v>71.445999999999998</v>
      </c>
      <c r="L62" s="93"/>
      <c r="M62" s="94">
        <v>224</v>
      </c>
      <c r="N62" s="94"/>
      <c r="O62" s="80">
        <f t="shared" ref="O62:O73" si="17">IF(AND(ISBLANK(L62),ISBLANK(M62),ISBLANK(N62))=TRUE,"",L62+M62+N62)</f>
        <v>224</v>
      </c>
      <c r="P62" s="94">
        <v>438</v>
      </c>
      <c r="Q62" s="129">
        <f t="shared" ref="Q62:Q73" si="18">IFERROR(O62/P62*100," ")</f>
        <v>51.141552511415526</v>
      </c>
    </row>
    <row r="63" spans="1:17" ht="24.75" customHeight="1" x14ac:dyDescent="0.3">
      <c r="A63" s="121" t="s">
        <v>24</v>
      </c>
      <c r="B63" s="130">
        <v>24</v>
      </c>
      <c r="C63" s="131">
        <v>75.5</v>
      </c>
      <c r="D63" s="132">
        <v>63</v>
      </c>
      <c r="E63" s="130"/>
      <c r="F63" s="131"/>
      <c r="G63" s="131"/>
      <c r="H63" s="133" t="str">
        <f t="shared" si="15"/>
        <v xml:space="preserve"> </v>
      </c>
      <c r="I63" s="134">
        <v>337.91</v>
      </c>
      <c r="J63" s="135"/>
      <c r="K63" s="135">
        <f t="shared" si="16"/>
        <v>337.91</v>
      </c>
      <c r="L63" s="134"/>
      <c r="M63" s="135">
        <v>964</v>
      </c>
      <c r="N63" s="135"/>
      <c r="O63" s="136">
        <f t="shared" si="17"/>
        <v>964</v>
      </c>
      <c r="P63" s="135">
        <v>1859</v>
      </c>
      <c r="Q63" s="133">
        <f t="shared" si="18"/>
        <v>51.855836471221082</v>
      </c>
    </row>
    <row r="64" spans="1:17" ht="24.75" customHeight="1" x14ac:dyDescent="0.3">
      <c r="A64" s="76" t="s">
        <v>25</v>
      </c>
      <c r="B64" s="91">
        <v>39</v>
      </c>
      <c r="C64" s="92">
        <v>146</v>
      </c>
      <c r="D64" s="103">
        <v>115</v>
      </c>
      <c r="E64" s="91"/>
      <c r="F64" s="92"/>
      <c r="G64" s="92"/>
      <c r="H64" s="129" t="str">
        <f t="shared" si="15"/>
        <v xml:space="preserve"> </v>
      </c>
      <c r="I64" s="93">
        <v>556.27199999999993</v>
      </c>
      <c r="J64" s="94"/>
      <c r="K64" s="94">
        <f t="shared" si="16"/>
        <v>556.27199999999993</v>
      </c>
      <c r="L64" s="93"/>
      <c r="M64" s="94">
        <v>1937</v>
      </c>
      <c r="N64" s="94"/>
      <c r="O64" s="80">
        <f t="shared" si="17"/>
        <v>1937</v>
      </c>
      <c r="P64" s="94">
        <v>3304</v>
      </c>
      <c r="Q64" s="129">
        <f t="shared" si="18"/>
        <v>58.625907990314772</v>
      </c>
    </row>
    <row r="65" spans="1:17" ht="24.75" customHeight="1" x14ac:dyDescent="0.3">
      <c r="A65" s="121" t="s">
        <v>26</v>
      </c>
      <c r="B65" s="130">
        <v>32</v>
      </c>
      <c r="C65" s="131">
        <v>116.75</v>
      </c>
      <c r="D65" s="132">
        <v>96</v>
      </c>
      <c r="E65" s="130"/>
      <c r="F65" s="131"/>
      <c r="G65" s="131"/>
      <c r="H65" s="133" t="str">
        <f t="shared" si="15"/>
        <v xml:space="preserve"> </v>
      </c>
      <c r="I65" s="134">
        <v>446.702</v>
      </c>
      <c r="J65" s="135"/>
      <c r="K65" s="135">
        <f t="shared" si="16"/>
        <v>446.702</v>
      </c>
      <c r="L65" s="134"/>
      <c r="M65" s="135">
        <v>1554</v>
      </c>
      <c r="N65" s="135"/>
      <c r="O65" s="136">
        <f t="shared" si="17"/>
        <v>1554</v>
      </c>
      <c r="P65" s="135">
        <v>2767</v>
      </c>
      <c r="Q65" s="133">
        <f t="shared" si="18"/>
        <v>56.161908203830869</v>
      </c>
    </row>
    <row r="66" spans="1:17" ht="24.75" customHeight="1" x14ac:dyDescent="0.3">
      <c r="A66" s="76" t="s">
        <v>27</v>
      </c>
      <c r="B66" s="91">
        <v>28</v>
      </c>
      <c r="C66" s="92">
        <v>98.24</v>
      </c>
      <c r="D66" s="103">
        <v>87</v>
      </c>
      <c r="E66" s="91"/>
      <c r="F66" s="92"/>
      <c r="G66" s="92"/>
      <c r="H66" s="129" t="str">
        <f t="shared" si="15"/>
        <v xml:space="preserve"> </v>
      </c>
      <c r="I66" s="93">
        <v>387.80200000000008</v>
      </c>
      <c r="J66" s="94"/>
      <c r="K66" s="94">
        <f t="shared" si="16"/>
        <v>387.80200000000008</v>
      </c>
      <c r="L66" s="93"/>
      <c r="M66" s="94">
        <v>1380</v>
      </c>
      <c r="N66" s="94"/>
      <c r="O66" s="80">
        <f t="shared" si="17"/>
        <v>1380</v>
      </c>
      <c r="P66" s="94">
        <v>2465</v>
      </c>
      <c r="Q66" s="129">
        <f t="shared" si="18"/>
        <v>55.98377281947262</v>
      </c>
    </row>
    <row r="67" spans="1:17" ht="24.75" customHeight="1" x14ac:dyDescent="0.3">
      <c r="A67" s="121" t="s">
        <v>28</v>
      </c>
      <c r="B67" s="130">
        <v>12</v>
      </c>
      <c r="C67" s="131">
        <v>42.4</v>
      </c>
      <c r="D67" s="132">
        <v>35</v>
      </c>
      <c r="E67" s="130"/>
      <c r="F67" s="131"/>
      <c r="G67" s="131"/>
      <c r="H67" s="133" t="str">
        <f t="shared" si="15"/>
        <v xml:space="preserve"> </v>
      </c>
      <c r="I67" s="134">
        <v>150.91800000000001</v>
      </c>
      <c r="J67" s="135"/>
      <c r="K67" s="135">
        <f t="shared" si="16"/>
        <v>150.91800000000001</v>
      </c>
      <c r="L67" s="134"/>
      <c r="M67" s="135">
        <v>529</v>
      </c>
      <c r="N67" s="135"/>
      <c r="O67" s="136">
        <f t="shared" si="17"/>
        <v>529</v>
      </c>
      <c r="P67" s="135">
        <v>1024</v>
      </c>
      <c r="Q67" s="133">
        <f t="shared" si="18"/>
        <v>51.66015625</v>
      </c>
    </row>
    <row r="68" spans="1:17" ht="24.75" customHeight="1" x14ac:dyDescent="0.3">
      <c r="A68" s="76" t="s">
        <v>29</v>
      </c>
      <c r="B68" s="91">
        <v>24</v>
      </c>
      <c r="C68" s="92">
        <v>108</v>
      </c>
      <c r="D68" s="103">
        <v>71</v>
      </c>
      <c r="E68" s="91"/>
      <c r="F68" s="92"/>
      <c r="G68" s="92"/>
      <c r="H68" s="129" t="str">
        <f t="shared" si="15"/>
        <v xml:space="preserve"> </v>
      </c>
      <c r="I68" s="93">
        <v>324.19</v>
      </c>
      <c r="J68" s="94"/>
      <c r="K68" s="94">
        <f t="shared" si="16"/>
        <v>324.19</v>
      </c>
      <c r="L68" s="93"/>
      <c r="M68" s="94">
        <v>1138</v>
      </c>
      <c r="N68" s="94"/>
      <c r="O68" s="80">
        <f t="shared" si="17"/>
        <v>1138</v>
      </c>
      <c r="P68" s="94">
        <v>2067</v>
      </c>
      <c r="Q68" s="129">
        <f t="shared" si="18"/>
        <v>55.055636187711656</v>
      </c>
    </row>
    <row r="69" spans="1:17" ht="24.75" customHeight="1" x14ac:dyDescent="0.3">
      <c r="A69" s="121" t="s">
        <v>30</v>
      </c>
      <c r="B69" s="130">
        <v>8</v>
      </c>
      <c r="C69" s="131">
        <v>29.15</v>
      </c>
      <c r="D69" s="132">
        <v>25</v>
      </c>
      <c r="E69" s="130"/>
      <c r="F69" s="131"/>
      <c r="G69" s="131"/>
      <c r="H69" s="133" t="str">
        <f t="shared" si="15"/>
        <v xml:space="preserve"> </v>
      </c>
      <c r="I69" s="134">
        <v>111.19499999999999</v>
      </c>
      <c r="J69" s="135"/>
      <c r="K69" s="135">
        <f t="shared" si="16"/>
        <v>111.19499999999999</v>
      </c>
      <c r="L69" s="134"/>
      <c r="M69" s="135">
        <v>386</v>
      </c>
      <c r="N69" s="135"/>
      <c r="O69" s="136">
        <f t="shared" si="17"/>
        <v>386</v>
      </c>
      <c r="P69" s="135">
        <v>751</v>
      </c>
      <c r="Q69" s="133">
        <f t="shared" si="18"/>
        <v>51.398135818908116</v>
      </c>
    </row>
    <row r="70" spans="1:17" ht="24.75" customHeight="1" x14ac:dyDescent="0.3">
      <c r="A70" s="76" t="s">
        <v>31</v>
      </c>
      <c r="B70" s="91">
        <v>2</v>
      </c>
      <c r="C70" s="92">
        <v>7.1</v>
      </c>
      <c r="D70" s="103">
        <v>6</v>
      </c>
      <c r="E70" s="91"/>
      <c r="F70" s="92"/>
      <c r="G70" s="92"/>
      <c r="H70" s="129" t="str">
        <f t="shared" si="15"/>
        <v xml:space="preserve"> </v>
      </c>
      <c r="I70" s="93">
        <v>27.585999999999999</v>
      </c>
      <c r="J70" s="94"/>
      <c r="K70" s="94">
        <f t="shared" si="16"/>
        <v>27.585999999999999</v>
      </c>
      <c r="L70" s="93"/>
      <c r="M70" s="94">
        <v>98</v>
      </c>
      <c r="N70" s="94"/>
      <c r="O70" s="80">
        <f t="shared" si="17"/>
        <v>98</v>
      </c>
      <c r="P70" s="94">
        <v>175</v>
      </c>
      <c r="Q70" s="129">
        <f t="shared" si="18"/>
        <v>56.000000000000007</v>
      </c>
    </row>
    <row r="71" spans="1:17" ht="24.75" customHeight="1" x14ac:dyDescent="0.3">
      <c r="A71" s="121" t="s">
        <v>32</v>
      </c>
      <c r="B71" s="130">
        <v>0</v>
      </c>
      <c r="C71" s="131">
        <v>0</v>
      </c>
      <c r="D71" s="132">
        <v>0</v>
      </c>
      <c r="E71" s="130">
        <v>0</v>
      </c>
      <c r="F71" s="131">
        <v>0</v>
      </c>
      <c r="G71" s="131">
        <v>0</v>
      </c>
      <c r="H71" s="133" t="str">
        <f t="shared" si="15"/>
        <v xml:space="preserve"> </v>
      </c>
      <c r="I71" s="134">
        <v>0</v>
      </c>
      <c r="J71" s="135">
        <v>0</v>
      </c>
      <c r="K71" s="135">
        <f t="shared" si="16"/>
        <v>0</v>
      </c>
      <c r="L71" s="134">
        <v>0</v>
      </c>
      <c r="M71" s="135">
        <v>0</v>
      </c>
      <c r="N71" s="135">
        <v>0</v>
      </c>
      <c r="O71" s="136">
        <f t="shared" si="17"/>
        <v>0</v>
      </c>
      <c r="P71" s="135">
        <v>0</v>
      </c>
      <c r="Q71" s="133" t="str">
        <f t="shared" si="18"/>
        <v xml:space="preserve"> </v>
      </c>
    </row>
    <row r="72" spans="1:17" ht="24.75" customHeight="1" x14ac:dyDescent="0.3">
      <c r="A72" s="76" t="s">
        <v>33</v>
      </c>
      <c r="B72" s="109"/>
      <c r="C72" s="110"/>
      <c r="D72" s="111"/>
      <c r="E72" s="109"/>
      <c r="F72" s="110"/>
      <c r="G72" s="110"/>
      <c r="H72" s="112" t="str">
        <f t="shared" si="15"/>
        <v xml:space="preserve"> </v>
      </c>
      <c r="I72" s="113"/>
      <c r="J72" s="114"/>
      <c r="K72" s="114" t="str">
        <f t="shared" si="16"/>
        <v/>
      </c>
      <c r="L72" s="113"/>
      <c r="M72" s="114"/>
      <c r="N72" s="114"/>
      <c r="O72" s="112" t="str">
        <f t="shared" si="17"/>
        <v/>
      </c>
      <c r="P72" s="114"/>
      <c r="Q72" s="112" t="str">
        <f t="shared" si="18"/>
        <v xml:space="preserve"> </v>
      </c>
    </row>
    <row r="73" spans="1:17" ht="24.75" customHeight="1" x14ac:dyDescent="0.3">
      <c r="A73" s="137" t="s">
        <v>34</v>
      </c>
      <c r="B73" s="138">
        <f t="shared" ref="B73:G73" si="19">SUM(B61:B72)</f>
        <v>190</v>
      </c>
      <c r="C73" s="138">
        <f t="shared" si="19"/>
        <v>673.09</v>
      </c>
      <c r="D73" s="138">
        <f t="shared" si="19"/>
        <v>546</v>
      </c>
      <c r="E73" s="138">
        <f t="shared" si="19"/>
        <v>0</v>
      </c>
      <c r="F73" s="138">
        <f t="shared" si="19"/>
        <v>0</v>
      </c>
      <c r="G73" s="138">
        <f t="shared" si="19"/>
        <v>0</v>
      </c>
      <c r="H73" s="139" t="str">
        <f t="shared" si="15"/>
        <v xml:space="preserve"> </v>
      </c>
      <c r="I73" s="140">
        <f>SUM(I61:I72)</f>
        <v>2552.3960000000002</v>
      </c>
      <c r="J73" s="140">
        <f>SUM(J61:J72)</f>
        <v>0</v>
      </c>
      <c r="K73" s="140">
        <f t="shared" si="16"/>
        <v>2552.3960000000002</v>
      </c>
      <c r="L73" s="140">
        <f>SUM(L61:L72)</f>
        <v>0</v>
      </c>
      <c r="M73" s="140">
        <f>SUM(M61:M72)</f>
        <v>8722</v>
      </c>
      <c r="N73" s="140">
        <f>SUM(N61:N72)</f>
        <v>0</v>
      </c>
      <c r="O73" s="140">
        <f t="shared" si="17"/>
        <v>8722</v>
      </c>
      <c r="P73" s="140">
        <f>SUM(P61:P72)</f>
        <v>15793</v>
      </c>
      <c r="Q73" s="139">
        <f t="shared" si="18"/>
        <v>55.226999303488888</v>
      </c>
    </row>
    <row r="74" spans="1:17" x14ac:dyDescent="0.3">
      <c r="A74" s="146" t="s">
        <v>35</v>
      </c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7"/>
      <c r="N74" s="147"/>
      <c r="O74" s="147"/>
      <c r="P74" s="147"/>
      <c r="Q74" s="147"/>
    </row>
    <row r="75" spans="1:17" x14ac:dyDescent="0.3">
      <c r="A75" s="148" t="s">
        <v>36</v>
      </c>
      <c r="B75" s="148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</row>
    <row r="76" spans="1:17" x14ac:dyDescent="0.3">
      <c r="A76" s="148" t="s">
        <v>37</v>
      </c>
      <c r="B76" s="148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</row>
    <row r="79" spans="1:17" x14ac:dyDescent="0.3">
      <c r="H79" s="141"/>
      <c r="Q79" s="141"/>
    </row>
    <row r="81" spans="8:17" x14ac:dyDescent="0.3">
      <c r="H81" s="141"/>
      <c r="Q81" s="141"/>
    </row>
    <row r="83" spans="8:17" x14ac:dyDescent="0.3">
      <c r="H83" s="141"/>
      <c r="Q83" s="141"/>
    </row>
    <row r="85" spans="8:17" x14ac:dyDescent="0.3">
      <c r="H85" s="141"/>
      <c r="Q85" s="141"/>
    </row>
    <row r="87" spans="8:17" x14ac:dyDescent="0.3">
      <c r="H87" s="141"/>
      <c r="Q87" s="141"/>
    </row>
    <row r="89" spans="8:17" x14ac:dyDescent="0.3">
      <c r="H89" s="141"/>
      <c r="Q89" s="141"/>
    </row>
    <row r="91" spans="8:17" x14ac:dyDescent="0.3">
      <c r="H91" s="141"/>
      <c r="Q91" s="141"/>
    </row>
    <row r="93" spans="8:17" x14ac:dyDescent="0.3">
      <c r="H93" s="141"/>
      <c r="Q93" s="141"/>
    </row>
    <row r="95" spans="8:17" x14ac:dyDescent="0.3">
      <c r="H95" s="141"/>
      <c r="Q95" s="141"/>
    </row>
    <row r="96" spans="8:17" x14ac:dyDescent="0.3">
      <c r="H96" s="141"/>
      <c r="Q96" s="141"/>
    </row>
    <row r="97" spans="8:17" x14ac:dyDescent="0.3">
      <c r="H97" s="141"/>
      <c r="Q97" s="141"/>
    </row>
    <row r="98" spans="8:17" x14ac:dyDescent="0.3">
      <c r="H98" s="141"/>
      <c r="Q98" s="141"/>
    </row>
    <row r="99" spans="8:17" x14ac:dyDescent="0.3">
      <c r="H99" s="141"/>
      <c r="Q99" s="141"/>
    </row>
    <row r="100" spans="8:17" x14ac:dyDescent="0.3">
      <c r="H100" s="141"/>
      <c r="Q100" s="141"/>
    </row>
    <row r="101" spans="8:17" x14ac:dyDescent="0.3">
      <c r="H101" s="141"/>
      <c r="Q101" s="141"/>
    </row>
    <row r="121" spans="8:17" x14ac:dyDescent="0.3">
      <c r="H121" s="141"/>
      <c r="Q121" s="141"/>
    </row>
    <row r="124" spans="8:17" x14ac:dyDescent="0.3">
      <c r="H124" s="141"/>
      <c r="Q124" s="141"/>
    </row>
    <row r="126" spans="8:17" x14ac:dyDescent="0.3">
      <c r="H126" s="141"/>
      <c r="Q126" s="141"/>
    </row>
    <row r="128" spans="8:17" x14ac:dyDescent="0.3">
      <c r="H128" s="141"/>
      <c r="Q128" s="141"/>
    </row>
    <row r="130" spans="8:17" x14ac:dyDescent="0.3">
      <c r="H130" s="141"/>
      <c r="Q130" s="141"/>
    </row>
    <row r="132" spans="8:17" x14ac:dyDescent="0.3">
      <c r="H132" s="141"/>
      <c r="Q132" s="141"/>
    </row>
    <row r="134" spans="8:17" x14ac:dyDescent="0.3">
      <c r="H134" s="141"/>
      <c r="Q134" s="141"/>
    </row>
    <row r="136" spans="8:17" x14ac:dyDescent="0.3">
      <c r="H136" s="141"/>
      <c r="Q136" s="141"/>
    </row>
    <row r="138" spans="8:17" x14ac:dyDescent="0.3">
      <c r="H138" s="141"/>
      <c r="Q138" s="141"/>
    </row>
    <row r="140" spans="8:17" x14ac:dyDescent="0.3">
      <c r="H140" s="141"/>
      <c r="Q140" s="141"/>
    </row>
    <row r="141" spans="8:17" x14ac:dyDescent="0.3">
      <c r="Q141" s="141"/>
    </row>
    <row r="142" spans="8:17" x14ac:dyDescent="0.3">
      <c r="H142" s="141"/>
      <c r="Q142" s="141"/>
    </row>
    <row r="143" spans="8:17" x14ac:dyDescent="0.3">
      <c r="H143" s="141"/>
      <c r="Q143" s="141"/>
    </row>
    <row r="144" spans="8:17" x14ac:dyDescent="0.3">
      <c r="H144" s="141"/>
      <c r="Q144" s="141"/>
    </row>
    <row r="145" spans="8:17" x14ac:dyDescent="0.3">
      <c r="H145" s="141"/>
      <c r="Q145" s="141"/>
    </row>
    <row r="146" spans="8:17" x14ac:dyDescent="0.3">
      <c r="H146" s="141"/>
      <c r="Q146" s="141"/>
    </row>
    <row r="169" spans="8:17" x14ac:dyDescent="0.3">
      <c r="H169" s="141"/>
      <c r="Q169" s="141"/>
    </row>
    <row r="172" spans="8:17" x14ac:dyDescent="0.3">
      <c r="H172" s="141"/>
      <c r="Q172" s="141"/>
    </row>
    <row r="174" spans="8:17" x14ac:dyDescent="0.3">
      <c r="H174" s="141"/>
      <c r="Q174" s="141"/>
    </row>
    <row r="176" spans="8:17" x14ac:dyDescent="0.3">
      <c r="H176" s="141"/>
      <c r="Q176" s="141"/>
    </row>
    <row r="178" spans="8:17" x14ac:dyDescent="0.3">
      <c r="H178" s="141"/>
      <c r="Q178" s="141"/>
    </row>
    <row r="180" spans="8:17" x14ac:dyDescent="0.3">
      <c r="H180" s="141"/>
      <c r="Q180" s="141"/>
    </row>
    <row r="182" spans="8:17" x14ac:dyDescent="0.3">
      <c r="H182" s="141"/>
      <c r="Q182" s="141"/>
    </row>
    <row r="184" spans="8:17" x14ac:dyDescent="0.3">
      <c r="H184" s="141"/>
      <c r="Q184" s="141"/>
    </row>
    <row r="186" spans="8:17" x14ac:dyDescent="0.3">
      <c r="H186" s="141"/>
      <c r="Q186" s="141"/>
    </row>
    <row r="188" spans="8:17" x14ac:dyDescent="0.3">
      <c r="H188" s="141"/>
      <c r="Q188" s="141"/>
    </row>
    <row r="190" spans="8:17" x14ac:dyDescent="0.3">
      <c r="H190" s="141"/>
      <c r="Q190" s="141"/>
    </row>
    <row r="192" spans="8:17" x14ac:dyDescent="0.3">
      <c r="H192" s="141"/>
      <c r="Q192" s="141"/>
    </row>
    <row r="194" spans="8:17" x14ac:dyDescent="0.3">
      <c r="H194" s="141"/>
      <c r="Q194" s="141"/>
    </row>
    <row r="217" spans="8:17" x14ac:dyDescent="0.3">
      <c r="H217" s="141"/>
      <c r="Q217" s="141"/>
    </row>
    <row r="219" spans="8:17" x14ac:dyDescent="0.3">
      <c r="H219" s="141"/>
      <c r="Q219" s="141"/>
    </row>
    <row r="220" spans="8:17" x14ac:dyDescent="0.3">
      <c r="H220" s="141"/>
      <c r="Q220" s="141"/>
    </row>
    <row r="221" spans="8:17" x14ac:dyDescent="0.3">
      <c r="H221" s="141"/>
      <c r="Q221" s="141"/>
    </row>
    <row r="222" spans="8:17" x14ac:dyDescent="0.3">
      <c r="H222" s="141"/>
      <c r="Q222" s="141"/>
    </row>
    <row r="223" spans="8:17" x14ac:dyDescent="0.3">
      <c r="H223" s="141"/>
      <c r="Q223" s="141"/>
    </row>
    <row r="224" spans="8:17" x14ac:dyDescent="0.3">
      <c r="H224" s="141"/>
      <c r="Q224" s="141"/>
    </row>
    <row r="225" spans="8:17" x14ac:dyDescent="0.3">
      <c r="H225" s="141"/>
      <c r="Q225" s="141"/>
    </row>
    <row r="226" spans="8:17" x14ac:dyDescent="0.3">
      <c r="H226" s="141"/>
      <c r="Q226" s="141"/>
    </row>
    <row r="227" spans="8:17" x14ac:dyDescent="0.3">
      <c r="H227" s="141"/>
      <c r="Q227" s="141"/>
    </row>
    <row r="228" spans="8:17" x14ac:dyDescent="0.3">
      <c r="H228" s="141"/>
      <c r="Q228" s="141"/>
    </row>
    <row r="229" spans="8:17" x14ac:dyDescent="0.3">
      <c r="H229" s="141"/>
      <c r="Q229" s="141"/>
    </row>
    <row r="230" spans="8:17" x14ac:dyDescent="0.3">
      <c r="H230" s="141"/>
      <c r="Q230" s="141"/>
    </row>
    <row r="231" spans="8:17" x14ac:dyDescent="0.3">
      <c r="H231" s="141"/>
      <c r="Q231" s="141"/>
    </row>
    <row r="232" spans="8:17" x14ac:dyDescent="0.3">
      <c r="H232" s="141"/>
      <c r="Q232" s="141"/>
    </row>
    <row r="233" spans="8:17" x14ac:dyDescent="0.3">
      <c r="H233" s="141"/>
      <c r="Q233" s="141"/>
    </row>
    <row r="234" spans="8:17" x14ac:dyDescent="0.3">
      <c r="H234" s="141"/>
      <c r="Q234" s="141"/>
    </row>
    <row r="235" spans="8:17" x14ac:dyDescent="0.3">
      <c r="H235" s="141"/>
      <c r="Q235" s="141"/>
    </row>
    <row r="236" spans="8:17" x14ac:dyDescent="0.3">
      <c r="H236" s="141"/>
      <c r="Q236" s="141"/>
    </row>
    <row r="237" spans="8:17" x14ac:dyDescent="0.3">
      <c r="H237" s="141"/>
      <c r="Q237" s="141"/>
    </row>
    <row r="238" spans="8:17" x14ac:dyDescent="0.3">
      <c r="H238" s="141"/>
      <c r="Q238" s="141"/>
    </row>
    <row r="239" spans="8:17" x14ac:dyDescent="0.3">
      <c r="H239" s="141"/>
      <c r="Q239" s="141"/>
    </row>
    <row r="240" spans="8:17" x14ac:dyDescent="0.3">
      <c r="H240" s="141"/>
      <c r="Q240" s="141"/>
    </row>
    <row r="241" spans="8:17" x14ac:dyDescent="0.3">
      <c r="H241" s="141"/>
      <c r="Q241" s="141"/>
    </row>
    <row r="242" spans="8:17" x14ac:dyDescent="0.3">
      <c r="H242" s="141"/>
      <c r="Q242" s="141"/>
    </row>
    <row r="265" spans="8:17" x14ac:dyDescent="0.3">
      <c r="H265" s="141"/>
      <c r="Q265" s="141"/>
    </row>
    <row r="268" spans="8:17" x14ac:dyDescent="0.3">
      <c r="H268" s="141"/>
      <c r="Q268" s="141"/>
    </row>
    <row r="270" spans="8:17" x14ac:dyDescent="0.3">
      <c r="H270" s="141"/>
      <c r="Q270" s="141"/>
    </row>
    <row r="271" spans="8:17" x14ac:dyDescent="0.3">
      <c r="H271" s="141"/>
    </row>
    <row r="272" spans="8:17" x14ac:dyDescent="0.3">
      <c r="H272" s="141"/>
      <c r="Q272" s="141"/>
    </row>
    <row r="274" spans="8:17" x14ac:dyDescent="0.3">
      <c r="H274" s="141"/>
      <c r="Q274" s="141"/>
    </row>
    <row r="276" spans="8:17" x14ac:dyDescent="0.3">
      <c r="H276" s="141"/>
      <c r="Q276" s="141"/>
    </row>
    <row r="278" spans="8:17" x14ac:dyDescent="0.3">
      <c r="H278" s="141"/>
      <c r="Q278" s="141"/>
    </row>
    <row r="280" spans="8:17" x14ac:dyDescent="0.3">
      <c r="H280" s="141"/>
      <c r="Q280" s="141"/>
    </row>
    <row r="282" spans="8:17" x14ac:dyDescent="0.3">
      <c r="H282" s="141"/>
      <c r="Q282" s="141"/>
    </row>
    <row r="284" spans="8:17" x14ac:dyDescent="0.3">
      <c r="H284" s="141"/>
      <c r="Q284" s="141"/>
    </row>
    <row r="285" spans="8:17" x14ac:dyDescent="0.3">
      <c r="H285" s="141"/>
      <c r="Q285" s="141"/>
    </row>
    <row r="286" spans="8:17" x14ac:dyDescent="0.3">
      <c r="H286" s="141"/>
      <c r="Q286" s="141"/>
    </row>
    <row r="287" spans="8:17" x14ac:dyDescent="0.3">
      <c r="H287" s="141"/>
      <c r="Q287" s="141"/>
    </row>
    <row r="288" spans="8:17" x14ac:dyDescent="0.3">
      <c r="H288" s="141"/>
      <c r="Q288" s="141"/>
    </row>
    <row r="289" spans="8:17" x14ac:dyDescent="0.3">
      <c r="H289" s="141"/>
      <c r="Q289" s="141"/>
    </row>
    <row r="290" spans="8:17" x14ac:dyDescent="0.3">
      <c r="H290" s="141"/>
      <c r="Q290" s="141"/>
    </row>
    <row r="292" spans="8:17" x14ac:dyDescent="0.3">
      <c r="H292" s="141"/>
    </row>
    <row r="311" spans="8:17" x14ac:dyDescent="0.3">
      <c r="H311" s="141"/>
      <c r="Q311" s="141"/>
    </row>
    <row r="314" spans="8:17" x14ac:dyDescent="0.3">
      <c r="H314" s="141"/>
      <c r="Q314" s="141"/>
    </row>
    <row r="316" spans="8:17" x14ac:dyDescent="0.3">
      <c r="H316" s="141"/>
      <c r="Q316" s="141"/>
    </row>
    <row r="318" spans="8:17" x14ac:dyDescent="0.3">
      <c r="H318" s="141"/>
      <c r="Q318" s="141"/>
    </row>
    <row r="320" spans="8:17" x14ac:dyDescent="0.3">
      <c r="H320" s="141"/>
      <c r="Q320" s="141"/>
    </row>
    <row r="322" spans="8:17" x14ac:dyDescent="0.3">
      <c r="H322" s="141"/>
      <c r="Q322" s="141"/>
    </row>
    <row r="324" spans="8:17" x14ac:dyDescent="0.3">
      <c r="H324" s="141"/>
      <c r="Q324" s="141"/>
    </row>
    <row r="326" spans="8:17" x14ac:dyDescent="0.3">
      <c r="H326" s="141"/>
      <c r="Q326" s="141"/>
    </row>
    <row r="328" spans="8:17" x14ac:dyDescent="0.3">
      <c r="H328" s="141"/>
      <c r="Q328" s="141"/>
    </row>
    <row r="330" spans="8:17" x14ac:dyDescent="0.3">
      <c r="H330" s="141"/>
      <c r="Q330" s="141"/>
    </row>
    <row r="332" spans="8:17" x14ac:dyDescent="0.3">
      <c r="H332" s="141"/>
      <c r="Q332" s="141"/>
    </row>
    <row r="334" spans="8:17" x14ac:dyDescent="0.3">
      <c r="H334" s="141"/>
      <c r="Q334" s="141"/>
    </row>
    <row r="336" spans="8:17" x14ac:dyDescent="0.3">
      <c r="H336" s="141"/>
      <c r="Q336" s="141"/>
    </row>
    <row r="362" spans="8:17" x14ac:dyDescent="0.3">
      <c r="Q362" s="141"/>
    </row>
    <row r="364" spans="8:17" x14ac:dyDescent="0.3">
      <c r="H364" s="141"/>
      <c r="Q364" s="141"/>
    </row>
    <row r="366" spans="8:17" x14ac:dyDescent="0.3">
      <c r="H366" s="141"/>
    </row>
    <row r="368" spans="8:17" x14ac:dyDescent="0.3">
      <c r="H368" s="141"/>
      <c r="Q368" s="141"/>
    </row>
    <row r="396" spans="8:17" x14ac:dyDescent="0.3">
      <c r="H396" s="141"/>
    </row>
    <row r="398" spans="8:17" x14ac:dyDescent="0.3">
      <c r="Q398" s="141"/>
    </row>
    <row r="399" spans="8:17" x14ac:dyDescent="0.3">
      <c r="Q399" s="141"/>
    </row>
    <row r="400" spans="8:17" x14ac:dyDescent="0.3">
      <c r="Q400" s="141"/>
    </row>
    <row r="401" spans="8:17" x14ac:dyDescent="0.3">
      <c r="Q401" s="141"/>
    </row>
    <row r="402" spans="8:17" x14ac:dyDescent="0.3">
      <c r="H402" s="141"/>
      <c r="Q402" s="141"/>
    </row>
    <row r="404" spans="8:17" x14ac:dyDescent="0.3">
      <c r="H404" s="141"/>
      <c r="Q404" s="141"/>
    </row>
    <row r="407" spans="8:17" x14ac:dyDescent="0.3">
      <c r="Q407" s="141"/>
    </row>
    <row r="431" spans="8:17" x14ac:dyDescent="0.3">
      <c r="Q431" s="141"/>
    </row>
    <row r="432" spans="8:17" x14ac:dyDescent="0.3">
      <c r="H432" s="141"/>
      <c r="Q432" s="141"/>
    </row>
    <row r="433" spans="8:17" x14ac:dyDescent="0.3">
      <c r="H433" s="141"/>
      <c r="Q433" s="141"/>
    </row>
    <row r="434" spans="8:17" x14ac:dyDescent="0.3">
      <c r="H434" s="141"/>
      <c r="Q434" s="141"/>
    </row>
    <row r="435" spans="8:17" x14ac:dyDescent="0.3">
      <c r="H435" s="141"/>
      <c r="Q435" s="141"/>
    </row>
    <row r="436" spans="8:17" x14ac:dyDescent="0.3">
      <c r="H436" s="141"/>
      <c r="Q436" s="141"/>
    </row>
    <row r="437" spans="8:17" x14ac:dyDescent="0.3">
      <c r="H437" s="141"/>
      <c r="Q437" s="141"/>
    </row>
    <row r="439" spans="8:17" x14ac:dyDescent="0.3">
      <c r="H439" s="141"/>
      <c r="Q439" s="141"/>
    </row>
    <row r="493" spans="13:13" x14ac:dyDescent="0.3">
      <c r="M493" s="142"/>
    </row>
    <row r="494" spans="13:13" x14ac:dyDescent="0.3">
      <c r="M494" s="1" t="s">
        <v>41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2023-01-13T09:00:39Z</dcterms:created>
  <dcterms:modified xsi:type="dcterms:W3CDTF">2023-01-16T09:04:16Z</dcterms:modified>
</cp:coreProperties>
</file>