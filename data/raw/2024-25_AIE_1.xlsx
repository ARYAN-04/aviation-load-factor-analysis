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Annual Report 2024-25\01 Airline Wise Air Transport Operating and Traffic Statistics\AIR INDIA EXPRESS\"/>
    </mc:Choice>
  </mc:AlternateContent>
  <bookViews>
    <workbookView xWindow="0" yWindow="0" windowWidth="24000" windowHeight="10725"/>
  </bookViews>
  <sheets>
    <sheet name="AIR INDIA EXPRESS" sheetId="8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0" i="8" l="1"/>
  <c r="Q9" i="8"/>
  <c r="Q8" i="8"/>
  <c r="Q7" i="8"/>
  <c r="Q6" i="8"/>
  <c r="H10" i="8"/>
  <c r="H9" i="8"/>
  <c r="H8" i="8"/>
  <c r="H7" i="8"/>
  <c r="H6" i="8"/>
  <c r="Q17" i="8" l="1"/>
  <c r="Q16" i="8"/>
  <c r="Q15" i="8"/>
  <c r="Q14" i="8"/>
  <c r="Q13" i="8"/>
  <c r="Q11" i="8"/>
  <c r="H17" i="8"/>
  <c r="H16" i="8"/>
  <c r="H15" i="8"/>
  <c r="H14" i="8"/>
  <c r="H13" i="8"/>
  <c r="H11" i="8"/>
  <c r="Q12" i="8" l="1"/>
  <c r="H12" i="8"/>
  <c r="G18" i="8" l="1"/>
  <c r="C18" i="8"/>
  <c r="D18" i="8"/>
  <c r="E18" i="8"/>
  <c r="F18" i="8"/>
  <c r="B18" i="8"/>
  <c r="H18" i="8" l="1"/>
  <c r="P18" i="8"/>
  <c r="O18" i="8"/>
  <c r="N18" i="8"/>
  <c r="M18" i="8"/>
  <c r="L18" i="8"/>
  <c r="K18" i="8"/>
  <c r="J18" i="8"/>
  <c r="I18" i="8"/>
  <c r="Q18" i="8" l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<sst xmlns="http://schemas.openxmlformats.org/spreadsheetml/2006/main" count="26" uniqueCount="24">
  <si>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</si>
  <si>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</si>
  <si>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</si>
  <si>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</si>
  <si>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</si>
  <si>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</si>
  <si>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</si>
  <si>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</si>
  <si>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</si>
  <si>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</si>
  <si>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</si>
  <si>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</si>
  <si>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</si>
  <si>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</si>
  <si>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</si>
  <si>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</si>
  <si>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</si>
  <si>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</si>
  <si>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</si>
  <si>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AIR INDIA EXPRESS</t>
  </si>
  <si>
    <t xml:space="preserve">Table 1.01  AIR INDIA EXPRESS </t>
  </si>
  <si>
    <t>MONTHLY TRAFFIC AND OPERATING STATISTICS OF AIR INDIA EXPRESS ON SCHEDULED DOMESTIC SERVICES DURING 2024-25</t>
  </si>
  <si>
    <t>2024-25</t>
  </si>
  <si>
    <t xml:space="preserve">तालिका 1.01 एयर इंडिया एक्सप्रेस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</si>
</sst>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  <numFmt numFmtId="168" formatCode="0.0"/>
    <numFmt numFmtId="169" formatCode="[$-409]mmm/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</cellStyleXfs>
  <cellXfs count="29">
    <xf numFmtId="0" fontId="0" fillId="0" borderId="0" xfId="0"/>
    <xf numFmtId="0" fontId="4" fillId="4" borderId="1" xfId="3" applyFont="1" applyBorder="1" applyAlignment="1" applyProtection="1">
      <alignment horizontal="center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6" fontId="3" fillId="4" borderId="1" xfId="3" applyNumberForma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167" fontId="4" fillId="4" borderId="1" xfId="3" applyNumberFormat="1" applyFont="1" applyBorder="1" applyAlignment="1" applyProtection="1">
      <alignment horizontal="righ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166" fontId="4" fillId="4" borderId="1" xfId="3" applyNumberFormat="1" applyFont="1" applyBorder="1" applyAlignment="1" applyProtection="1">
      <alignment horizontal="right" vertical="center" wrapText="1"/>
    </xf>
    <xf numFmtId="0" fontId="0" fillId="0" borderId="0" xfId="0" applyNumberFormat="1" applyFont="1"/>
    <xf numFmtId="2" fontId="0" fillId="0" borderId="0" xfId="0" applyNumberFormat="1" applyFont="1"/>
    <xf numFmtId="168" fontId="0" fillId="0" borderId="0" xfId="0" applyNumberFormat="1" applyFont="1"/>
    <xf numFmtId="1" fontId="0" fillId="0" borderId="0" xfId="0" applyNumberFormat="1" applyFont="1"/>
    <xf numFmtId="164" fontId="3" fillId="4" borderId="1" xfId="3" applyNumberFormat="1" applyBorder="1" applyAlignment="1">
      <alignment horizontal="right" vertical="center"/>
    </xf>
    <xf numFmtId="4" fontId="4" fillId="4" borderId="1" xfId="3" applyNumberFormat="1" applyFont="1" applyBorder="1" applyAlignment="1" applyProtection="1">
      <alignment horizontal="right" vertical="center" wrapText="1"/>
    </xf>
    <xf numFmtId="164" fontId="0" fillId="0" borderId="1" xfId="1" applyNumberFormat="1" applyFont="1" applyBorder="1" applyAlignment="1">
      <alignment horizontal="right" vertical="center"/>
    </xf>
    <xf numFmtId="169" fontId="3" fillId="5" borderId="1" xfId="4" applyNumberFormat="1" applyFill="1" applyBorder="1" applyAlignment="1" applyProtection="1">
      <alignment horizontal="center" vertical="center" wrapText="1"/>
    </xf>
    <xf numFmtId="169" fontId="3" fillId="7" borderId="1" xfId="4" applyNumberFormat="1" applyFill="1" applyBorder="1" applyAlignment="1" applyProtection="1">
      <alignment horizontal="center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5">
    <cellStyle name="40% - Accent1" xfId="4" builtinId="31"/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zoomScale="145" zoomScaleNormal="130" zoomScaleSheetLayoutView="145" workbookViewId="0">
      <selection activeCell="I4" sqref="I4:K4"/>
    </sheetView>
  </sheetViews>
  <sheetFormatPr defaultRowHeight="15" x14ac:dyDescent="0.25"/>
  <cols>
    <col min="1" max="1" width="14" bestFit="1" customWidth="1"/>
    <col min="2" max="2" width="9.42578125" customWidth="1"/>
    <col min="3" max="3" width="8.28515625" customWidth="1"/>
    <col min="4" max="4" width="7" bestFit="1" customWidth="1"/>
    <col min="5" max="5" width="10.7109375" customWidth="1"/>
    <col min="6" max="6" width="9.140625" bestFit="1" customWidth="1"/>
    <col min="7" max="8" width="7.140625" customWidth="1"/>
    <col min="9" max="9" width="8.5703125" customWidth="1"/>
    <col min="10" max="10" width="7.140625" customWidth="1"/>
    <col min="11" max="11" width="8.42578125" customWidth="1"/>
    <col min="12" max="12" width="8.28515625" customWidth="1"/>
    <col min="13" max="13" width="5.42578125" customWidth="1"/>
    <col min="14" max="14" width="5.7109375" customWidth="1"/>
    <col min="15" max="15" width="8.28515625" customWidth="1"/>
    <col min="16" max="16" width="11.5703125" bestFit="1" customWidth="1"/>
    <col min="17" max="17" width="7.42578125" customWidth="1"/>
  </cols>
  <sheetData>
    <row r="1" spans="1:17" x14ac:dyDescent="0.25">
      <c r="A1" s="24" t="s">
        <v>23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x14ac:dyDescent="0.25">
      <c r="A2" s="25" t="s">
        <v>20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1:17" x14ac:dyDescent="0.25">
      <c r="A3" s="27" t="s">
        <v>21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</row>
    <row r="4" spans="1:17" ht="33" customHeight="1" x14ac:dyDescent="0.25">
      <c r="A4" s="27" t="s">
        <v>0</v>
      </c>
      <c r="B4" s="27" t="s">
        <v>1</v>
      </c>
      <c r="C4" s="27"/>
      <c r="D4" s="27"/>
      <c r="E4" s="27" t="s">
        <v>2</v>
      </c>
      <c r="F4" s="28"/>
      <c r="G4" s="19" t="s">
        <v>3</v>
      </c>
      <c r="H4" s="19" t="s">
        <v>4</v>
      </c>
      <c r="I4" s="27" t="s">
        <v>5</v>
      </c>
      <c r="J4" s="27"/>
      <c r="K4" s="27"/>
      <c r="L4" s="27" t="s">
        <v>6</v>
      </c>
      <c r="M4" s="27"/>
      <c r="N4" s="27"/>
      <c r="O4" s="27"/>
      <c r="P4" s="19" t="s">
        <v>7</v>
      </c>
      <c r="Q4" s="19" t="s">
        <v>8</v>
      </c>
    </row>
    <row r="5" spans="1:17" ht="111" customHeight="1" x14ac:dyDescent="0.25">
      <c r="A5" s="27"/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20"/>
      <c r="H5" s="20"/>
      <c r="I5" s="8" t="s">
        <v>14</v>
      </c>
      <c r="J5" s="8" t="s">
        <v>15</v>
      </c>
      <c r="K5" s="8" t="s">
        <v>16</v>
      </c>
      <c r="L5" s="8" t="s">
        <v>17</v>
      </c>
      <c r="M5" s="8" t="s">
        <v>18</v>
      </c>
      <c r="N5" s="8" t="s">
        <v>15</v>
      </c>
      <c r="O5" s="8" t="s">
        <v>16</v>
      </c>
      <c r="P5" s="20"/>
      <c r="Q5" s="20"/>
    </row>
    <row r="6" spans="1:17" x14ac:dyDescent="0.25">
      <c r="A6" s="18">
        <v>45383</v>
      </c>
      <c r="B6" s="2">
        <v>2976</v>
      </c>
      <c r="C6" s="2">
        <v>5348.7333333333345</v>
      </c>
      <c r="D6" s="2">
        <v>2768.679999999998</v>
      </c>
      <c r="E6" s="2">
        <v>422278</v>
      </c>
      <c r="F6" s="2">
        <v>399.77524099999982</v>
      </c>
      <c r="G6" s="2">
        <v>486.16916500000013</v>
      </c>
      <c r="H6" s="5">
        <f t="shared" ref="H6:H10" si="0">F6/G6*100</f>
        <v>82.229657859934363</v>
      </c>
      <c r="I6" s="5">
        <v>738.99479999999971</v>
      </c>
      <c r="J6" s="5"/>
      <c r="K6" s="5">
        <v>738.99479999999971</v>
      </c>
      <c r="L6" s="5">
        <v>15.596510099999991</v>
      </c>
      <c r="M6" s="5">
        <v>0.97292722570000001</v>
      </c>
      <c r="N6" s="5">
        <v>0</v>
      </c>
      <c r="O6" s="14">
        <v>16.56943732569999</v>
      </c>
      <c r="P6" s="5">
        <v>55.373599999999954</v>
      </c>
      <c r="Q6" s="5">
        <f t="shared" ref="Q6:Q10" si="1">O6/P6*100</f>
        <v>29.922990966272746</v>
      </c>
    </row>
    <row r="7" spans="1:17" x14ac:dyDescent="0.25">
      <c r="A7" s="17">
        <v>45413</v>
      </c>
      <c r="B7" s="3">
        <v>2233</v>
      </c>
      <c r="C7" s="3">
        <v>4168.5666666666666</v>
      </c>
      <c r="D7" s="3">
        <v>1647.2969999999996</v>
      </c>
      <c r="E7" s="3">
        <v>328320</v>
      </c>
      <c r="F7" s="3">
        <v>328.66900400000026</v>
      </c>
      <c r="G7" s="3">
        <v>388.78556800000007</v>
      </c>
      <c r="H7" s="6">
        <f t="shared" si="0"/>
        <v>84.53734681838813</v>
      </c>
      <c r="I7" s="6">
        <v>820.99749999999995</v>
      </c>
      <c r="J7" s="6"/>
      <c r="K7" s="6">
        <v>820.99749999999995</v>
      </c>
      <c r="L7" s="6">
        <v>32.866900399999999</v>
      </c>
      <c r="M7" s="6">
        <v>0.73399999999999999</v>
      </c>
      <c r="N7" s="6">
        <v>0</v>
      </c>
      <c r="O7" s="16">
        <v>33.6009004</v>
      </c>
      <c r="P7" s="6">
        <v>44.18614000000003</v>
      </c>
      <c r="Q7" s="6">
        <f t="shared" si="1"/>
        <v>76.043982117469369</v>
      </c>
    </row>
    <row r="8" spans="1:17" x14ac:dyDescent="0.25">
      <c r="A8" s="18">
        <v>45444</v>
      </c>
      <c r="B8" s="2">
        <v>2844</v>
      </c>
      <c r="C8" s="2">
        <v>5302.0666666666666</v>
      </c>
      <c r="D8" s="2">
        <v>2802.5030000000006</v>
      </c>
      <c r="E8" s="2">
        <v>423233</v>
      </c>
      <c r="F8" s="2">
        <v>426.31263100000001</v>
      </c>
      <c r="G8" s="2">
        <v>492.05723200000006</v>
      </c>
      <c r="H8" s="5">
        <f t="shared" si="0"/>
        <v>86.63883046027459</v>
      </c>
      <c r="I8" s="5">
        <v>645.94954999999993</v>
      </c>
      <c r="J8" s="5"/>
      <c r="K8" s="5">
        <v>645.94954999999993</v>
      </c>
      <c r="L8" s="14">
        <v>42.631263099999991</v>
      </c>
      <c r="M8" s="5">
        <v>0.51752244282999993</v>
      </c>
      <c r="N8" s="5">
        <v>0</v>
      </c>
      <c r="O8" s="14">
        <v>43.148785542829991</v>
      </c>
      <c r="P8" s="14">
        <v>56.050060000000009</v>
      </c>
      <c r="Q8" s="5">
        <f t="shared" si="1"/>
        <v>76.982585822084729</v>
      </c>
    </row>
    <row r="9" spans="1:17" x14ac:dyDescent="0.25">
      <c r="A9" s="17">
        <v>45474</v>
      </c>
      <c r="B9" s="3">
        <v>2283</v>
      </c>
      <c r="C9" s="3">
        <v>4014.7833333333338</v>
      </c>
      <c r="D9" s="3">
        <v>2140.7149999999997</v>
      </c>
      <c r="E9" s="3">
        <v>317746</v>
      </c>
      <c r="F9" s="3">
        <v>308.14239099999998</v>
      </c>
      <c r="G9" s="3">
        <v>376.31953799999985</v>
      </c>
      <c r="H9" s="6">
        <f t="shared" si="0"/>
        <v>81.883176365931902</v>
      </c>
      <c r="I9" s="6">
        <v>995.40046999999959</v>
      </c>
      <c r="J9" s="6"/>
      <c r="K9" s="6">
        <v>995.40046999999959</v>
      </c>
      <c r="L9" s="6">
        <v>30.814239099999995</v>
      </c>
      <c r="M9" s="6">
        <v>1.28545345432</v>
      </c>
      <c r="N9" s="6">
        <v>0</v>
      </c>
      <c r="O9" s="6">
        <v>32.099692554319994</v>
      </c>
      <c r="P9" s="6">
        <v>42.814300000000053</v>
      </c>
      <c r="Q9" s="6">
        <f t="shared" si="1"/>
        <v>74.974231867203144</v>
      </c>
    </row>
    <row r="10" spans="1:17" x14ac:dyDescent="0.25">
      <c r="A10" s="18">
        <v>45505</v>
      </c>
      <c r="B10" s="2">
        <v>3094</v>
      </c>
      <c r="C10" s="2">
        <v>5252.2833333333365</v>
      </c>
      <c r="D10" s="2">
        <v>2970.7170000000001</v>
      </c>
      <c r="E10" s="2">
        <v>408361</v>
      </c>
      <c r="F10" s="2">
        <v>400.05118099999987</v>
      </c>
      <c r="G10" s="2">
        <v>521.01376799999991</v>
      </c>
      <c r="H10" s="5">
        <f t="shared" si="0"/>
        <v>76.78322638875062</v>
      </c>
      <c r="I10" s="5">
        <v>1039.8614800000003</v>
      </c>
      <c r="J10" s="5"/>
      <c r="K10" s="5">
        <v>1039.8614800000003</v>
      </c>
      <c r="L10" s="5">
        <v>40.005118099999997</v>
      </c>
      <c r="M10" s="5">
        <v>1.3330783893399998</v>
      </c>
      <c r="N10" s="5">
        <v>0</v>
      </c>
      <c r="O10" s="5">
        <v>41.33819648934</v>
      </c>
      <c r="P10" s="5">
        <v>59.414339999999967</v>
      </c>
      <c r="Q10" s="5">
        <f t="shared" si="1"/>
        <v>69.576126721831827</v>
      </c>
    </row>
    <row r="11" spans="1:17" x14ac:dyDescent="0.25">
      <c r="A11" s="17">
        <v>45536</v>
      </c>
      <c r="B11" s="3">
        <v>3859</v>
      </c>
      <c r="C11" s="3">
        <v>6731.5333333333328</v>
      </c>
      <c r="D11" s="3">
        <v>3498.4269999999997</v>
      </c>
      <c r="E11" s="3">
        <v>517124</v>
      </c>
      <c r="F11" s="3">
        <v>497.11601199999973</v>
      </c>
      <c r="G11" s="3">
        <v>645.5948970000004</v>
      </c>
      <c r="H11" s="6">
        <f t="shared" ref="H11:H18" si="2">F11/G11*100</f>
        <v>77.001230076327474</v>
      </c>
      <c r="I11" s="6">
        <v>2848.7640999999994</v>
      </c>
      <c r="J11" s="6"/>
      <c r="K11" s="6">
        <v>2848.7640999999994</v>
      </c>
      <c r="L11" s="6">
        <v>49.711601199999983</v>
      </c>
      <c r="M11" s="6">
        <v>3.4604924540999997</v>
      </c>
      <c r="N11" s="6">
        <v>0</v>
      </c>
      <c r="O11" s="6">
        <v>53.172093654099982</v>
      </c>
      <c r="P11" s="6">
        <v>73.451780000000042</v>
      </c>
      <c r="Q11" s="6">
        <f t="shared" ref="Q11:Q17" si="3">O11/P11*100</f>
        <v>72.390476655705214</v>
      </c>
    </row>
    <row r="12" spans="1:17" x14ac:dyDescent="0.25">
      <c r="A12" s="18">
        <v>45566</v>
      </c>
      <c r="B12" s="2">
        <v>8193</v>
      </c>
      <c r="C12" s="2">
        <v>15390.083333333336</v>
      </c>
      <c r="D12" s="2">
        <v>8278.0329999999994</v>
      </c>
      <c r="E12" s="2">
        <v>1177057</v>
      </c>
      <c r="F12" s="2">
        <v>1202.927878</v>
      </c>
      <c r="G12" s="2">
        <v>1475.0409539999987</v>
      </c>
      <c r="H12" s="5">
        <f t="shared" si="2"/>
        <v>81.552168076277084</v>
      </c>
      <c r="I12" s="5">
        <v>2518.538</v>
      </c>
      <c r="J12" s="5"/>
      <c r="K12" s="5">
        <v>2518.538</v>
      </c>
      <c r="L12" s="14">
        <v>120.29278780000008</v>
      </c>
      <c r="M12" s="5">
        <v>2.4121008257000005</v>
      </c>
      <c r="N12" s="5">
        <v>0</v>
      </c>
      <c r="O12" s="14">
        <v>122.70488862570008</v>
      </c>
      <c r="P12" s="5">
        <v>165.5606600000003</v>
      </c>
      <c r="Q12" s="5">
        <f t="shared" si="3"/>
        <v>74.114761698642567</v>
      </c>
    </row>
    <row r="13" spans="1:17" x14ac:dyDescent="0.25">
      <c r="A13" s="17">
        <v>45597</v>
      </c>
      <c r="B13" s="3">
        <v>7951</v>
      </c>
      <c r="C13" s="3">
        <v>14771.700000000006</v>
      </c>
      <c r="D13" s="3">
        <v>7888.9639999999936</v>
      </c>
      <c r="E13" s="3">
        <v>1221495</v>
      </c>
      <c r="F13" s="3">
        <v>1233.7035620000026</v>
      </c>
      <c r="G13" s="3">
        <v>1404.0263559999989</v>
      </c>
      <c r="H13" s="6">
        <f t="shared" si="2"/>
        <v>87.868974590673815</v>
      </c>
      <c r="I13" s="6">
        <v>3534.7854908136774</v>
      </c>
      <c r="J13" s="6"/>
      <c r="K13" s="6">
        <v>3534.7854908136774</v>
      </c>
      <c r="L13" s="6">
        <v>123.37035619999997</v>
      </c>
      <c r="M13" s="6">
        <v>4.1859027729251643</v>
      </c>
      <c r="N13" s="6">
        <v>0</v>
      </c>
      <c r="O13" s="6">
        <v>127.55625897292515</v>
      </c>
      <c r="P13" s="6">
        <v>157.77927999999994</v>
      </c>
      <c r="Q13" s="6">
        <f t="shared" si="3"/>
        <v>80.844746517366033</v>
      </c>
    </row>
    <row r="14" spans="1:17" x14ac:dyDescent="0.25">
      <c r="A14" s="18">
        <v>45627</v>
      </c>
      <c r="B14" s="2">
        <v>8714</v>
      </c>
      <c r="C14" s="2">
        <v>16177.24999999998</v>
      </c>
      <c r="D14" s="2">
        <v>8636.586450083023</v>
      </c>
      <c r="E14" s="2">
        <v>1342308</v>
      </c>
      <c r="F14" s="2">
        <v>1342.3379276478279</v>
      </c>
      <c r="G14" s="2">
        <v>1544.4593890441558</v>
      </c>
      <c r="H14" s="5">
        <f t="shared" si="2"/>
        <v>86.913125535698413</v>
      </c>
      <c r="I14" s="5">
        <v>4304.0870791446887</v>
      </c>
      <c r="J14" s="5">
        <v>174.44065000000003</v>
      </c>
      <c r="K14" s="5">
        <v>4478.5277291446891</v>
      </c>
      <c r="L14" s="5">
        <v>134.23379276478283</v>
      </c>
      <c r="M14" s="5">
        <v>4.1636806375562925</v>
      </c>
      <c r="N14" s="5">
        <v>0.1355868130110387</v>
      </c>
      <c r="O14" s="5">
        <v>138.53306021535019</v>
      </c>
      <c r="P14" s="5">
        <v>172.7317290016602</v>
      </c>
      <c r="Q14" s="5">
        <f t="shared" si="3"/>
        <v>80.201281499369856</v>
      </c>
    </row>
    <row r="15" spans="1:17" x14ac:dyDescent="0.25">
      <c r="A15" s="17">
        <v>45658</v>
      </c>
      <c r="B15" s="3">
        <v>8829</v>
      </c>
      <c r="C15" s="3">
        <v>16751.283333333347</v>
      </c>
      <c r="D15" s="3">
        <v>8965.4129185555466</v>
      </c>
      <c r="E15" s="3">
        <v>1335289</v>
      </c>
      <c r="F15" s="3">
        <v>1368.801540430218</v>
      </c>
      <c r="G15" s="3">
        <v>1603.9646505354285</v>
      </c>
      <c r="H15" s="6">
        <f t="shared" si="2"/>
        <v>85.338635111022583</v>
      </c>
      <c r="I15" s="6">
        <v>4902.9844031630282</v>
      </c>
      <c r="J15" s="6"/>
      <c r="K15" s="6">
        <v>4902.9844031630282</v>
      </c>
      <c r="L15" s="6">
        <v>136.88015404302155</v>
      </c>
      <c r="M15" s="6">
        <v>6.1038577900926398</v>
      </c>
      <c r="N15" s="6">
        <v>0</v>
      </c>
      <c r="O15" s="6">
        <v>142.98401183311421</v>
      </c>
      <c r="P15" s="6">
        <v>179.30825837111098</v>
      </c>
      <c r="Q15" s="6">
        <f t="shared" si="3"/>
        <v>79.742011400937741</v>
      </c>
    </row>
    <row r="16" spans="1:17" x14ac:dyDescent="0.25">
      <c r="A16" s="18">
        <v>45689</v>
      </c>
      <c r="B16" s="2">
        <v>9362</v>
      </c>
      <c r="C16" s="2">
        <v>17713.13333333336</v>
      </c>
      <c r="D16" s="2">
        <v>9478.9007472168942</v>
      </c>
      <c r="E16" s="2">
        <v>1423613</v>
      </c>
      <c r="F16" s="2">
        <v>1464.1381023912481</v>
      </c>
      <c r="G16" s="2">
        <v>1690.8416019560041</v>
      </c>
      <c r="H16" s="5">
        <f t="shared" si="2"/>
        <v>86.592268648790039</v>
      </c>
      <c r="I16" s="5">
        <v>2393.5104299999998</v>
      </c>
      <c r="J16" s="5"/>
      <c r="K16" s="5">
        <v>2393.5104299999998</v>
      </c>
      <c r="L16" s="5">
        <v>146.41381023912484</v>
      </c>
      <c r="M16" s="5">
        <v>3.0384616309204859</v>
      </c>
      <c r="N16" s="5">
        <v>0</v>
      </c>
      <c r="O16" s="5">
        <v>149.45227187004531</v>
      </c>
      <c r="P16" s="5">
        <v>189.57801494433761</v>
      </c>
      <c r="Q16" s="5">
        <f t="shared" si="3"/>
        <v>78.834179118251811</v>
      </c>
    </row>
    <row r="17" spans="1:17" x14ac:dyDescent="0.25">
      <c r="A17" s="17">
        <v>45717</v>
      </c>
      <c r="B17" s="10">
        <v>11068</v>
      </c>
      <c r="C17" s="13">
        <v>20987.86666666668</v>
      </c>
      <c r="D17" s="13">
        <v>11211.272777165968</v>
      </c>
      <c r="E17" s="10">
        <v>1575238</v>
      </c>
      <c r="F17" s="12">
        <v>1617.0398432955321</v>
      </c>
      <c r="G17" s="12">
        <v>2001.710966259669</v>
      </c>
      <c r="H17" s="6">
        <f t="shared" si="2"/>
        <v>80.782883770531527</v>
      </c>
      <c r="I17" s="10">
        <v>4967.2423399999989</v>
      </c>
      <c r="J17" s="10"/>
      <c r="K17" s="10">
        <v>4967.2423399999989</v>
      </c>
      <c r="L17" s="11">
        <v>161.70398432955307</v>
      </c>
      <c r="M17" s="10">
        <v>5.8534320813198075</v>
      </c>
      <c r="N17" s="10">
        <v>0</v>
      </c>
      <c r="O17" s="11">
        <v>167.55741641087286</v>
      </c>
      <c r="P17" s="12">
        <v>224.22545554331887</v>
      </c>
      <c r="Q17" s="6">
        <f t="shared" si="3"/>
        <v>74.727205260823695</v>
      </c>
    </row>
    <row r="18" spans="1:17" x14ac:dyDescent="0.25">
      <c r="A18" s="1" t="s">
        <v>22</v>
      </c>
      <c r="B18" s="4">
        <f>SUM(B6:B17)</f>
        <v>71406</v>
      </c>
      <c r="C18" s="4">
        <f t="shared" ref="C18:F18" si="4">SUM(C6:C17)</f>
        <v>132609.28333333335</v>
      </c>
      <c r="D18" s="4">
        <f t="shared" si="4"/>
        <v>70287.508893021411</v>
      </c>
      <c r="E18" s="4">
        <f t="shared" si="4"/>
        <v>10492062</v>
      </c>
      <c r="F18" s="4">
        <f t="shared" si="4"/>
        <v>10589.015313764829</v>
      </c>
      <c r="G18" s="4">
        <f>SUM(G6:G17)</f>
        <v>12629.984085795255</v>
      </c>
      <c r="H18" s="7">
        <f t="shared" si="2"/>
        <v>83.840290231831162</v>
      </c>
      <c r="I18" s="7">
        <f t="shared" ref="I18:P18" si="5">SUM(I6:I17)</f>
        <v>29711.115643121389</v>
      </c>
      <c r="J18" s="7">
        <f t="shared" si="5"/>
        <v>174.44065000000003</v>
      </c>
      <c r="K18" s="7">
        <f t="shared" si="5"/>
        <v>29885.556293121394</v>
      </c>
      <c r="L18" s="7">
        <f t="shared" si="5"/>
        <v>1034.5205173764823</v>
      </c>
      <c r="M18" s="7">
        <f t="shared" si="5"/>
        <v>34.060909704804395</v>
      </c>
      <c r="N18" s="9">
        <f t="shared" si="5"/>
        <v>0.1355868130110387</v>
      </c>
      <c r="O18" s="15">
        <f t="shared" si="5"/>
        <v>1068.7170138942979</v>
      </c>
      <c r="P18" s="7">
        <f t="shared" si="5"/>
        <v>1420.473617860428</v>
      </c>
      <c r="Q18" s="7">
        <f t="shared" ref="Q18" si="6">O18/P18*100</f>
        <v>75.236667577398634</v>
      </c>
    </row>
    <row r="19" spans="1:17" x14ac:dyDescent="0.25">
      <c r="A19" s="21" t="s">
        <v>19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3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91" orientation="landscape" r:id="rId1"/>
  <ignoredErrors>
    <ignoredError sqref="H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 EXPRESS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2025-11-24T07:36:06Z</cp:lastPrinted>
  <dcterms:created xsi:type="dcterms:W3CDTF">2018-10-29T04:00:07Z</dcterms:created>
  <dcterms:modified xsi:type="dcterms:W3CDTF">2025-11-24T07:37:56Z</dcterms:modified>
</cp:coreProperties>
</file>