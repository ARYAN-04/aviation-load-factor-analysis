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INDIGO\"/>
    </mc:Choice>
  </mc:AlternateContent>
  <bookViews>
    <workbookView xWindow="-120" yWindow="-120" windowWidth="20736" windowHeight="11160"/>
  </bookViews>
  <sheets>
    <sheet name="INDIGO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0" l="1"/>
  <c r="Q8" i="10"/>
  <c r="Q9" i="10"/>
  <c r="Q10" i="10"/>
  <c r="Q11" i="10"/>
  <c r="Q12" i="10"/>
  <c r="Q13" i="10"/>
  <c r="Q14" i="10"/>
  <c r="Q15" i="10"/>
  <c r="Q16" i="10"/>
  <c r="Q17" i="10"/>
  <c r="Q18" i="10"/>
  <c r="Q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6" i="10"/>
  <c r="I18" i="10" l="1"/>
  <c r="B18" i="10"/>
  <c r="P18" i="10"/>
  <c r="O18" i="10"/>
  <c r="N18" i="10"/>
  <c r="M18" i="10"/>
  <c r="L18" i="10"/>
  <c r="K18" i="10"/>
  <c r="J18" i="10"/>
  <c r="G18" i="10"/>
  <c r="F18" i="10"/>
  <c r="E18" i="10"/>
  <c r="D18" i="10"/>
  <c r="C18" i="10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<sst xmlns="http://schemas.openxmlformats.org/spreadsheetml/2006/main" count="26" uniqueCount="24">
  <si>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</si>
  <si>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</si>
  <si>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</si>
  <si>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</si>
  <si>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</si>
  <si>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</si>
  <si>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</si>
  <si>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</si>
  <si>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</si>
  <si>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</si>
  <si>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</si>
  <si>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</si>
  <si>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</si>
  <si>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</si>
  <si>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</si>
  <si>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</si>
  <si>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</si>
  <si>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</si>
  <si>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</si>
  <si>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</si>
  <si>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 xml:space="preserve">तालिका 1.01 (इंडिगो) </t>
  </si>
  <si>
    <t>Table 1.01 (INDIGO)</t>
  </si>
  <si>
    <t>MONTHLY TRAFFIC AND OPERATING STATISTICS OF INDIGO ON SCHEDULED DOMESTIC SERVICES DURING 2018-19</t>
  </si>
  <si>
    <t>SOURCE:-  ICAO ATR FORM 'A' FURNISHED BY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</si>
</sst>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4">
    <xf numFmtId="0" fontId="0" fillId="0" borderId="0" xfId="0"/>
    <xf numFmtId="0" fontId="4" fillId="5" borderId="1" xfId="4" applyFont="1" applyBorder="1" applyAlignment="1" applyProtection="1">
      <alignment horizontal="center" vertical="center" wrapText="1"/>
    </xf>
    <xf numFmtId="164" fontId="3" fillId="5" borderId="1" xfId="4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3" fontId="4" fillId="5" borderId="1" xfId="4" applyNumberFormat="1" applyFont="1" applyBorder="1" applyAlignment="1" applyProtection="1">
      <alignment horizontal="right" vertical="center" wrapText="1"/>
    </xf>
    <xf numFmtId="165" fontId="3" fillId="5" borderId="1" xfId="4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4" fillId="5" borderId="1" xfId="4" applyNumberFormat="1" applyFont="1" applyBorder="1" applyAlignment="1" applyProtection="1">
      <alignment horizontal="right" vertical="center" wrapText="1"/>
    </xf>
    <xf numFmtId="17" fontId="3" fillId="5" borderId="1" xfId="4" applyNumberFormat="1" applyFont="1" applyBorder="1" applyAlignment="1" applyProtection="1">
      <alignment horizontal="center" vertical="center" wrapText="1"/>
    </xf>
    <xf numFmtId="17" fontId="2" fillId="2" borderId="1" xfId="0" applyNumberFormat="1" applyFont="1" applyFill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167" fontId="3" fillId="4" borderId="1" xfId="3" applyNumberFormat="1" applyBorder="1" applyAlignment="1" applyProtection="1">
      <alignment horizontal="center" vertical="center" wrapText="1"/>
    </xf>
    <xf numFmtId="167" fontId="4" fillId="4" borderId="1" xfId="3" applyNumberFormat="1" applyFont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0" fillId="5" borderId="1" xfId="4" applyFont="1" applyBorder="1" applyAlignment="1">
      <alignment horizontal="center" vertical="center" wrapText="1"/>
    </xf>
    <xf numFmtId="0" fontId="3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3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</cellXfs>
  <cellStyles count="5">
    <cellStyle name="20% - Accent2" xfId="3" builtinId="34"/>
    <cellStyle name="40% - Accent2" xfId="4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workbookViewId="0">
      <selection activeCell="J5" sqref="J5"/>
    </sheetView>
  </sheetViews>
  <sheetFormatPr defaultRowHeight="14.4" x14ac:dyDescent="0.3"/>
  <cols>
    <col min="1" max="1" width="8.109375" customWidth="1"/>
    <col min="2" max="2" width="7.6640625" customWidth="1"/>
    <col min="3" max="3" width="8.109375" customWidth="1"/>
    <col min="4" max="4" width="8.33203125" customWidth="1"/>
    <col min="5" max="5" width="10.6640625" customWidth="1"/>
    <col min="6" max="7" width="7.44140625" customWidth="1"/>
    <col min="8" max="8" width="5.6640625" customWidth="1"/>
    <col min="9" max="9" width="9.33203125" customWidth="1"/>
    <col min="10" max="10" width="8.88671875" customWidth="1"/>
    <col min="11" max="11" width="9.88671875" customWidth="1"/>
    <col min="12" max="12" width="6.88671875" customWidth="1"/>
    <col min="13" max="13" width="5.88671875" customWidth="1"/>
    <col min="14" max="14" width="5.44140625" customWidth="1"/>
    <col min="15" max="15" width="7.109375" customWidth="1"/>
    <col min="16" max="16" width="7" customWidth="1"/>
    <col min="17" max="17" width="6.44140625" customWidth="1"/>
  </cols>
  <sheetData>
    <row r="1" spans="1:17" x14ac:dyDescent="0.3">
      <c r="A1" s="18" t="s">
        <v>20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3">
      <c r="A2" s="20" t="s">
        <v>21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x14ac:dyDescent="0.3">
      <c r="A3" s="22" t="s">
        <v>22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33.6" customHeight="1" x14ac:dyDescent="0.3">
      <c r="A4" s="22" t="s">
        <v>0</v>
      </c>
      <c r="B4" s="22" t="s">
        <v>1</v>
      </c>
      <c r="C4" s="22"/>
      <c r="D4" s="22"/>
      <c r="E4" s="22" t="s">
        <v>2</v>
      </c>
      <c r="F4" s="23"/>
      <c r="G4" s="13" t="s">
        <v>3</v>
      </c>
      <c r="H4" s="13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3" t="s">
        <v>7</v>
      </c>
      <c r="Q4" s="13" t="s">
        <v>8</v>
      </c>
    </row>
    <row r="5" spans="1:17" ht="120.75" customHeight="1" x14ac:dyDescent="0.3">
      <c r="A5" s="22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4"/>
      <c r="H5" s="14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4"/>
      <c r="Q5" s="14"/>
    </row>
    <row r="6" spans="1:17" x14ac:dyDescent="0.3">
      <c r="A6" s="8">
        <v>43191</v>
      </c>
      <c r="B6" s="2">
        <v>29818</v>
      </c>
      <c r="C6" s="2">
        <v>52951</v>
      </c>
      <c r="D6" s="2">
        <v>27103.9</v>
      </c>
      <c r="E6" s="2">
        <v>4579916</v>
      </c>
      <c r="F6" s="2">
        <v>4420.5749999999998</v>
      </c>
      <c r="G6" s="2">
        <v>4809.2209999999995</v>
      </c>
      <c r="H6" s="11">
        <f>F6/G6*100</f>
        <v>91.918732784374029</v>
      </c>
      <c r="I6" s="5">
        <v>10639.2</v>
      </c>
      <c r="J6" s="5">
        <v>1347.5</v>
      </c>
      <c r="K6" s="5">
        <v>11986.7</v>
      </c>
      <c r="L6" s="5">
        <v>397.84949999999998</v>
      </c>
      <c r="M6" s="5">
        <v>12.5547</v>
      </c>
      <c r="N6" s="5">
        <v>1.4661</v>
      </c>
      <c r="O6" s="5">
        <v>411.87029999999999</v>
      </c>
      <c r="P6" s="5">
        <v>526.07100000000003</v>
      </c>
      <c r="Q6" s="11">
        <f>O6/P6*100</f>
        <v>78.291770502460693</v>
      </c>
    </row>
    <row r="7" spans="1:17" x14ac:dyDescent="0.3">
      <c r="A7" s="9">
        <v>43221</v>
      </c>
      <c r="B7" s="3">
        <v>32110</v>
      </c>
      <c r="C7" s="3">
        <v>57307.332999999999</v>
      </c>
      <c r="D7" s="3">
        <v>29014.6</v>
      </c>
      <c r="E7" s="3">
        <v>4852909</v>
      </c>
      <c r="F7" s="3">
        <v>4677.509</v>
      </c>
      <c r="G7" s="3">
        <v>5141.93</v>
      </c>
      <c r="H7" s="11">
        <f t="shared" ref="H7:H18" si="0">F7/G7*100</f>
        <v>90.967963391178017</v>
      </c>
      <c r="I7" s="6">
        <v>12451.1</v>
      </c>
      <c r="J7" s="6">
        <v>1418.25217</v>
      </c>
      <c r="K7" s="6">
        <v>13869.35217</v>
      </c>
      <c r="L7" s="6">
        <v>420.97379999999998</v>
      </c>
      <c r="M7" s="6">
        <v>15.0733</v>
      </c>
      <c r="N7" s="6">
        <v>1.5218</v>
      </c>
      <c r="O7" s="6">
        <v>437.56889999999999</v>
      </c>
      <c r="P7" s="6">
        <v>563.30029999999999</v>
      </c>
      <c r="Q7" s="11">
        <f t="shared" ref="Q7:Q18" si="1">O7/P7*100</f>
        <v>77.679507715511591</v>
      </c>
    </row>
    <row r="8" spans="1:17" x14ac:dyDescent="0.3">
      <c r="A8" s="8">
        <v>43252</v>
      </c>
      <c r="B8" s="2">
        <v>31979</v>
      </c>
      <c r="C8" s="2">
        <v>56937.083299999998</v>
      </c>
      <c r="D8" s="2">
        <v>29156.400000000001</v>
      </c>
      <c r="E8" s="2">
        <v>4672686</v>
      </c>
      <c r="F8" s="2">
        <v>4565.7700000000004</v>
      </c>
      <c r="G8" s="2">
        <v>5170.0110000000004</v>
      </c>
      <c r="H8" s="11">
        <f t="shared" si="0"/>
        <v>88.312578058344556</v>
      </c>
      <c r="I8" s="5">
        <v>12793.09</v>
      </c>
      <c r="J8" s="5">
        <v>1607.5</v>
      </c>
      <c r="K8" s="5">
        <v>14400.59</v>
      </c>
      <c r="L8" s="5">
        <v>410.91720000000004</v>
      </c>
      <c r="M8" s="5">
        <v>15.5579</v>
      </c>
      <c r="N8" s="5">
        <v>1.6491</v>
      </c>
      <c r="O8" s="5">
        <v>428.12420000000003</v>
      </c>
      <c r="P8" s="5">
        <v>567.30150000000003</v>
      </c>
      <c r="Q8" s="11">
        <f t="shared" si="1"/>
        <v>75.466784417104478</v>
      </c>
    </row>
    <row r="9" spans="1:17" x14ac:dyDescent="0.3">
      <c r="A9" s="9">
        <v>43282</v>
      </c>
      <c r="B9" s="3">
        <v>33767</v>
      </c>
      <c r="C9" s="3">
        <v>59674.55</v>
      </c>
      <c r="D9" s="3">
        <v>30718.75</v>
      </c>
      <c r="E9" s="3">
        <v>5002416</v>
      </c>
      <c r="F9" s="3">
        <v>4804.2280000000001</v>
      </c>
      <c r="G9" s="3">
        <v>5438.7219999999998</v>
      </c>
      <c r="H9" s="11">
        <f t="shared" si="0"/>
        <v>88.333766645914253</v>
      </c>
      <c r="I9" s="6">
        <v>14608.74</v>
      </c>
      <c r="J9" s="6">
        <v>1745.9</v>
      </c>
      <c r="K9" s="6">
        <v>16354.64</v>
      </c>
      <c r="L9" s="6">
        <v>432.37604800000003</v>
      </c>
      <c r="M9" s="6">
        <v>17.850601999999999</v>
      </c>
      <c r="N9" s="6">
        <v>1.8608450000000001</v>
      </c>
      <c r="O9" s="6">
        <v>452.08749499999999</v>
      </c>
      <c r="P9" s="6">
        <v>593.88618399999996</v>
      </c>
      <c r="Q9" s="11">
        <f t="shared" si="1"/>
        <v>76.123591890125539</v>
      </c>
    </row>
    <row r="10" spans="1:17" x14ac:dyDescent="0.3">
      <c r="A10" s="8">
        <v>43313</v>
      </c>
      <c r="B10" s="2">
        <v>34409</v>
      </c>
      <c r="C10" s="2">
        <v>60802.9</v>
      </c>
      <c r="D10" s="2">
        <v>31462.91</v>
      </c>
      <c r="E10" s="2">
        <v>4757378</v>
      </c>
      <c r="F10" s="2">
        <v>4610.8900000000003</v>
      </c>
      <c r="G10" s="2">
        <v>5565.6170000000002</v>
      </c>
      <c r="H10" s="11">
        <f t="shared" si="0"/>
        <v>82.845980957726709</v>
      </c>
      <c r="I10" s="5">
        <v>13976.967500000001</v>
      </c>
      <c r="J10" s="5">
        <v>1856.7014999999999</v>
      </c>
      <c r="K10" s="5">
        <v>15833.669</v>
      </c>
      <c r="L10" s="5">
        <v>414.98129</v>
      </c>
      <c r="M10" s="5">
        <v>17.250529999999998</v>
      </c>
      <c r="N10" s="5">
        <v>1.9954100000000001</v>
      </c>
      <c r="O10" s="5">
        <v>434.22722999999991</v>
      </c>
      <c r="P10" s="5">
        <v>608.61795999999993</v>
      </c>
      <c r="Q10" s="11">
        <f t="shared" si="1"/>
        <v>71.346437098241395</v>
      </c>
    </row>
    <row r="11" spans="1:17" x14ac:dyDescent="0.3">
      <c r="A11" s="9">
        <v>43344</v>
      </c>
      <c r="B11" s="3">
        <v>35602</v>
      </c>
      <c r="C11" s="3">
        <v>62407.7</v>
      </c>
      <c r="D11" s="3">
        <v>32512.217000000001</v>
      </c>
      <c r="E11" s="3">
        <v>4920335</v>
      </c>
      <c r="F11" s="3">
        <v>4753.1809999999996</v>
      </c>
      <c r="G11" s="3">
        <v>5747.32</v>
      </c>
      <c r="H11" s="11">
        <f t="shared" si="0"/>
        <v>82.702563977645227</v>
      </c>
      <c r="I11" s="6">
        <v>14255.103999999999</v>
      </c>
      <c r="J11" s="6">
        <v>1695.5</v>
      </c>
      <c r="K11" s="6">
        <v>15950.603999999999</v>
      </c>
      <c r="L11" s="6">
        <v>427.78315399999997</v>
      </c>
      <c r="M11" s="6">
        <v>17.435693300000001</v>
      </c>
      <c r="N11" s="6">
        <v>1.8049937</v>
      </c>
      <c r="O11" s="6">
        <v>447.02384099999995</v>
      </c>
      <c r="P11" s="6">
        <v>630.1124456</v>
      </c>
      <c r="Q11" s="11">
        <f t="shared" si="1"/>
        <v>70.943502881353012</v>
      </c>
    </row>
    <row r="12" spans="1:17" x14ac:dyDescent="0.3">
      <c r="A12" s="8">
        <v>43374</v>
      </c>
      <c r="B12" s="2">
        <v>37403</v>
      </c>
      <c r="C12" s="2">
        <v>64970.366000000002</v>
      </c>
      <c r="D12" s="2">
        <v>34065.699000000001</v>
      </c>
      <c r="E12" s="2">
        <v>5074853</v>
      </c>
      <c r="F12" s="2">
        <v>4998.7330000000002</v>
      </c>
      <c r="G12" s="2">
        <v>6014.9070000000002</v>
      </c>
      <c r="H12" s="11">
        <f t="shared" si="0"/>
        <v>83.105740454507455</v>
      </c>
      <c r="I12" s="5">
        <v>14660.534</v>
      </c>
      <c r="J12" s="5">
        <v>1754.6</v>
      </c>
      <c r="K12" s="5">
        <v>16415.133999999998</v>
      </c>
      <c r="L12" s="5">
        <v>449.88625999999999</v>
      </c>
      <c r="M12" s="5">
        <v>17.602169999999997</v>
      </c>
      <c r="N12" s="5">
        <v>1.84606</v>
      </c>
      <c r="O12" s="5">
        <v>469.33449000000002</v>
      </c>
      <c r="P12" s="5">
        <v>661.36099000000002</v>
      </c>
      <c r="Q12" s="11">
        <f t="shared" si="1"/>
        <v>70.964949111981952</v>
      </c>
    </row>
    <row r="13" spans="1:17" x14ac:dyDescent="0.3">
      <c r="A13" s="9">
        <v>43405</v>
      </c>
      <c r="B13" s="3">
        <v>36011</v>
      </c>
      <c r="C13" s="3">
        <v>63706.45</v>
      </c>
      <c r="D13" s="3">
        <v>32769.504000000001</v>
      </c>
      <c r="E13" s="3">
        <v>5005919</v>
      </c>
      <c r="F13" s="3">
        <v>4916.9160000000002</v>
      </c>
      <c r="G13" s="3">
        <v>5794.4740000000002</v>
      </c>
      <c r="H13" s="11">
        <f t="shared" si="0"/>
        <v>84.855260373935579</v>
      </c>
      <c r="I13" s="6">
        <v>11716.432339999999</v>
      </c>
      <c r="J13" s="6">
        <v>1805.88165</v>
      </c>
      <c r="K13" s="6">
        <v>13522.313989999999</v>
      </c>
      <c r="L13" s="6">
        <v>442.52149699999995</v>
      </c>
      <c r="M13" s="6">
        <v>13.942487</v>
      </c>
      <c r="N13" s="6">
        <v>1.865591</v>
      </c>
      <c r="O13" s="6">
        <v>458.32957500000003</v>
      </c>
      <c r="P13" s="6">
        <v>652.03200500000003</v>
      </c>
      <c r="Q13" s="11">
        <f t="shared" si="1"/>
        <v>70.292496608352835</v>
      </c>
    </row>
    <row r="14" spans="1:17" x14ac:dyDescent="0.3">
      <c r="A14" s="8">
        <v>43435</v>
      </c>
      <c r="B14" s="2">
        <v>37305</v>
      </c>
      <c r="C14" s="2">
        <v>66564.5</v>
      </c>
      <c r="D14" s="2">
        <v>34430.362000000001</v>
      </c>
      <c r="E14" s="2">
        <v>5478523</v>
      </c>
      <c r="F14" s="2">
        <v>5425.4260000000004</v>
      </c>
      <c r="G14" s="2">
        <v>6101.125</v>
      </c>
      <c r="H14" s="11">
        <f t="shared" si="0"/>
        <v>88.92500973181177</v>
      </c>
      <c r="I14" s="5">
        <v>12582.10511</v>
      </c>
      <c r="J14" s="5">
        <v>2099.5070900000001</v>
      </c>
      <c r="K14" s="5">
        <v>14681.6122</v>
      </c>
      <c r="L14" s="5">
        <v>488.28757900000005</v>
      </c>
      <c r="M14" s="5">
        <v>15.013057</v>
      </c>
      <c r="N14" s="5">
        <v>2.1126329999999998</v>
      </c>
      <c r="O14" s="5">
        <v>505.41326900000001</v>
      </c>
      <c r="P14" s="5">
        <v>685.25952599999994</v>
      </c>
      <c r="Q14" s="11">
        <f t="shared" si="1"/>
        <v>73.755015410030225</v>
      </c>
    </row>
    <row r="15" spans="1:17" x14ac:dyDescent="0.3">
      <c r="A15" s="9">
        <v>43466</v>
      </c>
      <c r="B15" s="3">
        <v>37199</v>
      </c>
      <c r="C15" s="3">
        <v>67118.433000000005</v>
      </c>
      <c r="D15" s="3">
        <v>34515.158000000003</v>
      </c>
      <c r="E15" s="3">
        <v>5321832</v>
      </c>
      <c r="F15" s="3">
        <v>5282.94</v>
      </c>
      <c r="G15" s="3">
        <v>6111.6390000000001</v>
      </c>
      <c r="H15" s="11">
        <f t="shared" si="0"/>
        <v>86.440642191071817</v>
      </c>
      <c r="I15" s="6">
        <v>13069.63</v>
      </c>
      <c r="J15" s="6">
        <v>2078.0169999999998</v>
      </c>
      <c r="K15" s="6">
        <v>15147.646999999999</v>
      </c>
      <c r="L15" s="6">
        <v>475.46591999999998</v>
      </c>
      <c r="M15" s="6">
        <v>15.411280000000001</v>
      </c>
      <c r="N15" s="6">
        <v>2.0765700000000002</v>
      </c>
      <c r="O15" s="6">
        <v>492.95377000000002</v>
      </c>
      <c r="P15" s="6">
        <v>673.25582999999995</v>
      </c>
      <c r="Q15" s="11">
        <f t="shared" si="1"/>
        <v>73.219383781645092</v>
      </c>
    </row>
    <row r="16" spans="1:17" x14ac:dyDescent="0.3">
      <c r="A16" s="8">
        <v>43497</v>
      </c>
      <c r="B16" s="2">
        <v>33596</v>
      </c>
      <c r="C16" s="2">
        <v>60391.583299999998</v>
      </c>
      <c r="D16" s="2">
        <v>30957.866999999998</v>
      </c>
      <c r="E16" s="2">
        <v>4930608</v>
      </c>
      <c r="F16" s="2">
        <v>4841.0860000000002</v>
      </c>
      <c r="G16" s="2">
        <v>5475.8140000000003</v>
      </c>
      <c r="H16" s="11">
        <f t="shared" si="0"/>
        <v>88.408517893412736</v>
      </c>
      <c r="I16" s="5">
        <v>14069.552</v>
      </c>
      <c r="J16" s="5">
        <v>1811.2670000000001</v>
      </c>
      <c r="K16" s="5">
        <v>15880.819</v>
      </c>
      <c r="L16" s="5">
        <v>435.69885600000003</v>
      </c>
      <c r="M16" s="5">
        <v>16.555242</v>
      </c>
      <c r="N16" s="5">
        <v>1.768362</v>
      </c>
      <c r="O16" s="5">
        <v>454.02246000000002</v>
      </c>
      <c r="P16" s="5">
        <v>602.74681799999996</v>
      </c>
      <c r="Q16" s="11">
        <f t="shared" si="1"/>
        <v>75.32556729316488</v>
      </c>
    </row>
    <row r="17" spans="1:17" x14ac:dyDescent="0.3">
      <c r="A17" s="9">
        <v>43525</v>
      </c>
      <c r="B17" s="3">
        <v>38220</v>
      </c>
      <c r="C17" s="3">
        <v>67719.3</v>
      </c>
      <c r="D17" s="3">
        <v>35414.459000000003</v>
      </c>
      <c r="E17" s="3">
        <v>5440796</v>
      </c>
      <c r="F17" s="3">
        <v>5391.4250000000002</v>
      </c>
      <c r="G17" s="3">
        <v>6272.7269999999999</v>
      </c>
      <c r="H17" s="11">
        <f t="shared" si="0"/>
        <v>85.950257360156129</v>
      </c>
      <c r="I17" s="6">
        <v>18433.849999999999</v>
      </c>
      <c r="J17" s="6">
        <v>1942.7719999999999</v>
      </c>
      <c r="K17" s="6">
        <v>20376.621999999999</v>
      </c>
      <c r="L17" s="6">
        <v>485.22660999999999</v>
      </c>
      <c r="M17" s="6">
        <v>21.302490000000002</v>
      </c>
      <c r="N17" s="6">
        <v>1.8584400000000001</v>
      </c>
      <c r="O17" s="6">
        <v>508.38754</v>
      </c>
      <c r="P17" s="6">
        <v>688.41478000000006</v>
      </c>
      <c r="Q17" s="11">
        <f t="shared" si="1"/>
        <v>73.849015850589367</v>
      </c>
    </row>
    <row r="18" spans="1:17" x14ac:dyDescent="0.3">
      <c r="A18" s="1" t="s">
        <v>19</v>
      </c>
      <c r="B18" s="4">
        <f>SUM(B6:B17)</f>
        <v>417419</v>
      </c>
      <c r="C18" s="4">
        <f t="shared" ref="C18:G18" si="2">SUM(C6:C17)</f>
        <v>740551.1986</v>
      </c>
      <c r="D18" s="4">
        <f t="shared" si="2"/>
        <v>382121.826</v>
      </c>
      <c r="E18" s="4">
        <f t="shared" si="2"/>
        <v>60038171</v>
      </c>
      <c r="F18" s="4">
        <f t="shared" si="2"/>
        <v>58688.679000000004</v>
      </c>
      <c r="G18" s="4">
        <f t="shared" si="2"/>
        <v>67643.506999999998</v>
      </c>
      <c r="H18" s="12">
        <f t="shared" si="0"/>
        <v>86.76173309583136</v>
      </c>
      <c r="I18" s="7">
        <f t="shared" ref="I18:P18" si="3">SUM(I6:I17)</f>
        <v>163256.30495000002</v>
      </c>
      <c r="J18" s="7">
        <f t="shared" si="3"/>
        <v>21163.398410000002</v>
      </c>
      <c r="K18" s="7">
        <f t="shared" si="3"/>
        <v>184419.70335999998</v>
      </c>
      <c r="L18" s="7">
        <f t="shared" si="3"/>
        <v>5281.9677139999994</v>
      </c>
      <c r="M18" s="7">
        <f t="shared" si="3"/>
        <v>195.54945129999999</v>
      </c>
      <c r="N18" s="7">
        <f t="shared" si="3"/>
        <v>21.825904700000002</v>
      </c>
      <c r="O18" s="7">
        <f t="shared" si="3"/>
        <v>5499.3430699999999</v>
      </c>
      <c r="P18" s="7">
        <f t="shared" si="3"/>
        <v>7452.3593386000002</v>
      </c>
      <c r="Q18" s="12">
        <f t="shared" si="1"/>
        <v>73.793315916957738</v>
      </c>
    </row>
    <row r="19" spans="1:17" x14ac:dyDescent="0.3">
      <c r="A19" s="15" t="s">
        <v>23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2020-05-06T11:03:48Z</cp:lastPrinted>
  <dcterms:created xsi:type="dcterms:W3CDTF">2018-10-29T04:00:07Z</dcterms:created>
  <dcterms:modified xsi:type="dcterms:W3CDTF">2020-06-03T10:58:02Z</dcterms:modified>
</cp:coreProperties>
</file>