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ownloads\put up\put up\final -Traffic Data Tables for Scheduled Airlines\Traffic Data Tables for Scheduled Airlines\12. INDIGO\"/>
    </mc:Choice>
  </mc:AlternateContent>
  <bookViews>
    <workbookView showHorizontalScroll="0" showVerticalScroll="0" xWindow="0" yWindow="0" windowWidth="24000" windowHeight="9735"/>
  </bookViews>
  <sheets>
    <sheet name="INDIGO" sheetId="4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8" i="4" l="1"/>
  <c r="O18" i="4"/>
  <c r="M18" i="4"/>
  <c r="L18" i="4"/>
  <c r="Q9" i="4" l="1"/>
  <c r="Q10" i="4"/>
  <c r="Q11" i="4"/>
  <c r="Q12" i="4"/>
  <c r="Q13" i="4"/>
  <c r="Q14" i="4"/>
  <c r="Q15" i="4"/>
  <c r="Q16" i="4"/>
  <c r="Q17" i="4"/>
  <c r="Q18" i="4"/>
  <c r="Q8" i="4"/>
  <c r="H8" i="4"/>
  <c r="K9" i="4" l="1"/>
  <c r="K10" i="4"/>
  <c r="K11" i="4"/>
  <c r="K12" i="4"/>
  <c r="K13" i="4"/>
  <c r="K14" i="4"/>
  <c r="K15" i="4"/>
  <c r="K16" i="4"/>
  <c r="K17" i="4"/>
  <c r="K8" i="4"/>
  <c r="H9" i="4" l="1"/>
  <c r="H10" i="4"/>
  <c r="H11" i="4"/>
  <c r="H12" i="4"/>
  <c r="H13" i="4"/>
  <c r="H14" i="4"/>
  <c r="H15" i="4"/>
  <c r="H16" i="4"/>
  <c r="H17" i="4"/>
  <c r="J18" i="4" l="1"/>
  <c r="I18" i="4"/>
  <c r="F18" i="4"/>
  <c r="B18" i="4"/>
  <c r="N18" i="4"/>
  <c r="K18" i="4"/>
  <c r="G18" i="4"/>
  <c r="E18" i="4"/>
  <c r="D18" i="4"/>
  <c r="C18" i="4"/>
  <c r="H18" i="4" l="1"/>
</calcChain>
</file>

<file path=xl/sharedStrings.xml><?xml version="1.0" encoding="utf-8"?>
<sst xmlns="http://schemas.openxmlformats.org/spreadsheetml/2006/main" count="27" uniqueCount="25">
  <si>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</si>
  <si>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</si>
  <si>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</si>
  <si>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</si>
  <si>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</si>
  <si>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</si>
  <si>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</si>
  <si>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</si>
  <si>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</si>
  <si>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</si>
  <si>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</si>
  <si>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</si>
  <si>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</si>
  <si>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</si>
  <si>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</si>
  <si>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</si>
  <si>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</si>
  <si>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</si>
  <si>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</si>
  <si>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 xml:space="preserve">तालिका - 1.02 (इंडिगो) </t>
  </si>
  <si>
    <t>Table 1.02 (INDIGO)</t>
  </si>
  <si>
    <t>SOURCE:-  ICAO ATR FORM 'A' FURNISHED BY INDIGO</t>
  </si>
  <si>
    <t>2020-21</t>
  </si>
  <si>
    <t>MONTHLY TRAFFIC AND OPERATING STATISTICS OF INDIGO ON SCHEDULED INTERNATIONAL* SERVICES DURING 2020-21</t>
  </si>
  <si>
    <t>* DENOTES that THE INTERNATIONAL OPERATIONS BY SCHEDULED INDIAN OPERATORS WERE CARRIED AS PER DGCA’S CIRCULAR DATED 26.03.2020 UNDER COVID-19 RESTRICTION.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</si>
</sst>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0.0"/>
    <numFmt numFmtId="168" formatCode="[$-1010409]mmmm/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4" fillId="3" borderId="0" applyNumberFormat="0" applyBorder="0" applyAlignment="0" applyProtection="0"/>
    <xf numFmtId="0" fontId="3" fillId="4" borderId="0" applyNumberFormat="0" applyBorder="0" applyAlignment="0" applyProtection="0"/>
  </cellStyleXfs>
  <cellXfs count="27">
    <xf numFmtId="0" fontId="0" fillId="0" borderId="0" xfId="0"/>
    <xf numFmtId="165" fontId="5" fillId="0" borderId="1" xfId="1" applyNumberFormat="1" applyFont="1" applyFill="1" applyBorder="1" applyAlignment="1">
      <alignment horizontal="right" vertical="center"/>
    </xf>
    <xf numFmtId="166" fontId="5" fillId="0" borderId="1" xfId="1" applyNumberFormat="1" applyFont="1" applyFill="1" applyBorder="1" applyAlignment="1">
      <alignment horizontal="right" vertical="center"/>
    </xf>
    <xf numFmtId="165" fontId="3" fillId="4" borderId="1" xfId="3" applyNumberFormat="1" applyBorder="1" applyAlignment="1">
      <alignment horizontal="right" vertical="center"/>
    </xf>
    <xf numFmtId="166" fontId="3" fillId="4" borderId="1" xfId="3" applyNumberFormat="1" applyBorder="1" applyAlignment="1">
      <alignment horizontal="right" vertical="center"/>
    </xf>
    <xf numFmtId="165" fontId="6" fillId="4" borderId="1" xfId="3" applyNumberFormat="1" applyFont="1" applyBorder="1" applyAlignment="1" applyProtection="1">
      <alignment horizontal="right" vertical="center" wrapText="1"/>
    </xf>
    <xf numFmtId="166" fontId="6" fillId="4" borderId="1" xfId="3" applyNumberFormat="1" applyFont="1" applyBorder="1" applyAlignment="1" applyProtection="1">
      <alignment horizontal="right" vertical="center" wrapText="1"/>
    </xf>
    <xf numFmtId="0" fontId="2" fillId="3" borderId="1" xfId="2" applyFont="1" applyBorder="1" applyAlignment="1" applyProtection="1">
      <alignment horizontal="center" vertical="center" textRotation="90" wrapText="1"/>
    </xf>
    <xf numFmtId="165" fontId="5" fillId="0" borderId="2" xfId="1" applyNumberFormat="1" applyFont="1" applyFill="1" applyBorder="1" applyAlignment="1">
      <alignment horizontal="right" vertical="center"/>
    </xf>
    <xf numFmtId="165" fontId="5" fillId="0" borderId="3" xfId="1" applyNumberFormat="1" applyFont="1" applyFill="1" applyBorder="1" applyAlignment="1">
      <alignment horizontal="right" vertical="center"/>
    </xf>
    <xf numFmtId="167" fontId="0" fillId="0" borderId="0" xfId="0" applyNumberFormat="1" applyFont="1" applyBorder="1"/>
    <xf numFmtId="167" fontId="0" fillId="5" borderId="1" xfId="0" applyNumberFormat="1" applyFont="1" applyFill="1" applyBorder="1"/>
    <xf numFmtId="166" fontId="5" fillId="5" borderId="1" xfId="1" applyNumberFormat="1" applyFont="1" applyFill="1" applyBorder="1" applyAlignment="1">
      <alignment horizontal="right" vertical="center"/>
    </xf>
    <xf numFmtId="166" fontId="3" fillId="6" borderId="1" xfId="3" applyNumberFormat="1" applyFill="1" applyBorder="1" applyAlignment="1">
      <alignment horizontal="right" vertical="center"/>
    </xf>
    <xf numFmtId="166" fontId="6" fillId="4" borderId="1" xfId="3" applyNumberFormat="1" applyFont="1" applyBorder="1" applyAlignment="1">
      <alignment horizontal="right" vertical="center"/>
    </xf>
    <xf numFmtId="0" fontId="2" fillId="4" borderId="1" xfId="3" applyFont="1" applyBorder="1" applyAlignment="1">
      <alignment horizontal="center" vertical="center" wrapText="1"/>
    </xf>
    <xf numFmtId="0" fontId="2" fillId="4" borderId="1" xfId="3" quotePrefix="1" applyFont="1" applyBorder="1" applyAlignment="1" applyProtection="1">
      <alignment horizontal="center" vertical="center" wrapText="1"/>
    </xf>
    <xf numFmtId="0" fontId="2" fillId="4" borderId="1" xfId="3" applyFont="1" applyBorder="1"/>
    <xf numFmtId="0" fontId="2" fillId="3" borderId="1" xfId="2" applyFont="1" applyBorder="1" applyAlignment="1" applyProtection="1">
      <alignment horizontal="center" vertical="center" wrapText="1"/>
    </xf>
    <xf numFmtId="0" fontId="2" fillId="3" borderId="1" xfId="2" applyFont="1" applyBorder="1"/>
    <xf numFmtId="0" fontId="2" fillId="3" borderId="1" xfId="2" applyFont="1" applyBorder="1" applyAlignment="1" applyProtection="1">
      <alignment horizontal="center" vertical="center" textRotation="90" wrapText="1"/>
    </xf>
    <xf numFmtId="0" fontId="2" fillId="3" borderId="1" xfId="2" applyFont="1" applyBorder="1" applyAlignment="1">
      <alignment textRotation="90"/>
    </xf>
    <xf numFmtId="0" fontId="6" fillId="0" borderId="4" xfId="0" applyFont="1" applyBorder="1" applyAlignment="1">
      <alignment horizontal="left" wrapText="1"/>
    </xf>
    <xf numFmtId="0" fontId="1" fillId="2" borderId="1" xfId="0" applyFont="1" applyFill="1" applyBorder="1" applyAlignment="1" applyProtection="1">
      <alignment horizontal="left" vertical="center" wrapText="1"/>
    </xf>
    <xf numFmtId="168" fontId="3" fillId="4" borderId="1" xfId="3" applyNumberFormat="1" applyBorder="1" applyAlignment="1">
      <alignment horizontal="center" vertical="center"/>
    </xf>
    <xf numFmtId="168" fontId="5" fillId="0" borderId="1" xfId="1" applyNumberFormat="1" applyFont="1" applyFill="1" applyBorder="1" applyAlignment="1">
      <alignment horizontal="center" vertical="center"/>
    </xf>
    <xf numFmtId="168" fontId="6" fillId="4" borderId="1" xfId="3" applyNumberFormat="1" applyFont="1" applyBorder="1" applyAlignment="1" applyProtection="1">
      <alignment horizontal="center" vertical="center" wrapText="1"/>
    </xf>
  </cellXfs>
  <cellStyles count="4">
    <cellStyle name="40% - Accent6" xfId="3" builtinId="51"/>
    <cellStyle name="Accent6" xfId="2" builtinId="49"/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0"/>
  <sheetViews>
    <sheetView tabSelected="1" view="pageBreakPreview" topLeftCell="A2" zoomScale="60" zoomScaleNormal="100" workbookViewId="0">
      <selection activeCell="K5" sqref="K5"/>
    </sheetView>
  </sheetViews>
  <sheetFormatPr defaultRowHeight="15" x14ac:dyDescent="0.25"/>
  <cols>
    <col min="1" max="1" width="15.7109375" customWidth="1"/>
    <col min="2" max="2" width="7.140625" customWidth="1"/>
    <col min="3" max="4" width="8.85546875" customWidth="1"/>
    <col min="5" max="5" width="10" bestFit="1" customWidth="1"/>
    <col min="6" max="7" width="10" customWidth="1"/>
    <col min="8" max="8" width="8.42578125" customWidth="1"/>
    <col min="10" max="10" width="7" customWidth="1"/>
    <col min="11" max="11" width="9" customWidth="1"/>
    <col min="12" max="12" width="11.7109375" customWidth="1"/>
    <col min="13" max="13" width="9.28515625" customWidth="1"/>
    <col min="14" max="14" width="9.42578125" customWidth="1"/>
    <col min="15" max="15" width="11.42578125" customWidth="1"/>
    <col min="16" max="16" width="10.42578125" customWidth="1"/>
    <col min="17" max="17" width="9.28515625" customWidth="1"/>
  </cols>
  <sheetData>
    <row r="1" spans="1:17" ht="15" customHeight="1" x14ac:dyDescent="0.25">
      <c r="A1" s="15" t="s">
        <v>19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15" customHeight="1" x14ac:dyDescent="0.25">
      <c r="A2" s="16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15" customHeight="1" x14ac:dyDescent="0.25">
      <c r="A3" s="18" t="s">
        <v>23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</row>
    <row r="4" spans="1:17" ht="30.6" customHeight="1" x14ac:dyDescent="0.25">
      <c r="A4" s="18" t="s">
        <v>0</v>
      </c>
      <c r="B4" s="18" t="s">
        <v>1</v>
      </c>
      <c r="C4" s="18"/>
      <c r="D4" s="18"/>
      <c r="E4" s="18" t="s">
        <v>2</v>
      </c>
      <c r="F4" s="19"/>
      <c r="G4" s="20" t="s">
        <v>3</v>
      </c>
      <c r="H4" s="20" t="s">
        <v>4</v>
      </c>
      <c r="I4" s="18" t="s">
        <v>5</v>
      </c>
      <c r="J4" s="18"/>
      <c r="K4" s="18"/>
      <c r="L4" s="18" t="s">
        <v>6</v>
      </c>
      <c r="M4" s="18"/>
      <c r="N4" s="18"/>
      <c r="O4" s="18"/>
      <c r="P4" s="20" t="s">
        <v>7</v>
      </c>
      <c r="Q4" s="20" t="s">
        <v>8</v>
      </c>
    </row>
    <row r="5" spans="1:17" ht="101.25" customHeight="1" x14ac:dyDescent="0.25">
      <c r="A5" s="18"/>
      <c r="B5" s="7" t="s">
        <v>9</v>
      </c>
      <c r="C5" s="7" t="s">
        <v>10</v>
      </c>
      <c r="D5" s="7" t="s">
        <v>11</v>
      </c>
      <c r="E5" s="7" t="s">
        <v>12</v>
      </c>
      <c r="F5" s="7" t="s">
        <v>13</v>
      </c>
      <c r="G5" s="21"/>
      <c r="H5" s="21"/>
      <c r="I5" s="7" t="s">
        <v>14</v>
      </c>
      <c r="J5" s="7" t="s">
        <v>15</v>
      </c>
      <c r="K5" s="7" t="s">
        <v>16</v>
      </c>
      <c r="L5" s="7" t="s">
        <v>17</v>
      </c>
      <c r="M5" s="7" t="s">
        <v>18</v>
      </c>
      <c r="N5" s="7" t="s">
        <v>15</v>
      </c>
      <c r="O5" s="7" t="s">
        <v>16</v>
      </c>
      <c r="P5" s="21"/>
      <c r="Q5" s="21"/>
    </row>
    <row r="6" spans="1:17" x14ac:dyDescent="0.25">
      <c r="A6" s="24">
        <v>43922</v>
      </c>
      <c r="B6" s="3"/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</row>
    <row r="7" spans="1:17" x14ac:dyDescent="0.25">
      <c r="A7" s="25">
        <v>43952</v>
      </c>
      <c r="B7" s="1"/>
      <c r="C7" s="1"/>
      <c r="D7" s="9"/>
      <c r="E7" s="1"/>
      <c r="F7" s="1"/>
      <c r="G7" s="1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x14ac:dyDescent="0.25">
      <c r="A8" s="24">
        <v>43983</v>
      </c>
      <c r="B8" s="3">
        <v>234</v>
      </c>
      <c r="C8" s="3">
        <v>974</v>
      </c>
      <c r="D8" s="11">
        <v>648</v>
      </c>
      <c r="E8" s="3">
        <v>40150</v>
      </c>
      <c r="F8" s="3">
        <v>105.038</v>
      </c>
      <c r="G8" s="3">
        <v>116.76600000000001</v>
      </c>
      <c r="H8" s="4">
        <f>F8/G8*100</f>
        <v>89.955980336741845</v>
      </c>
      <c r="I8" s="4">
        <v>1.669</v>
      </c>
      <c r="J8" s="4"/>
      <c r="K8" s="4">
        <f>I8+J8</f>
        <v>1.669</v>
      </c>
      <c r="L8" s="4">
        <v>9.10482543</v>
      </c>
      <c r="M8" s="4">
        <v>2.6964619999999997E-3</v>
      </c>
      <c r="N8" s="4"/>
      <c r="O8" s="4">
        <v>9.1075218919999994</v>
      </c>
      <c r="P8" s="4">
        <v>13.949388079</v>
      </c>
      <c r="Q8" s="4">
        <f>O8/P8*100</f>
        <v>65.289759238334256</v>
      </c>
    </row>
    <row r="9" spans="1:17" x14ac:dyDescent="0.25">
      <c r="A9" s="25">
        <v>44013</v>
      </c>
      <c r="B9" s="1">
        <v>493</v>
      </c>
      <c r="C9" s="1">
        <v>1456.25</v>
      </c>
      <c r="D9" s="10">
        <v>1304.8309999999999</v>
      </c>
      <c r="E9" s="1">
        <v>72878</v>
      </c>
      <c r="F9" s="1">
        <v>198.71100000000001</v>
      </c>
      <c r="G9" s="1">
        <v>242.327</v>
      </c>
      <c r="H9" s="2">
        <f t="shared" ref="H9:H18" si="0">F9/G9*100</f>
        <v>82.001180223417123</v>
      </c>
      <c r="I9" s="2">
        <v>42.192</v>
      </c>
      <c r="J9" s="2"/>
      <c r="K9" s="13">
        <f t="shared" ref="K9:K17" si="1">I9+J9</f>
        <v>42.192</v>
      </c>
      <c r="L9" s="2">
        <v>16.808153129999997</v>
      </c>
      <c r="M9" s="2">
        <v>0.11277912499999999</v>
      </c>
      <c r="N9" s="2"/>
      <c r="O9" s="13">
        <v>16.920932254999997</v>
      </c>
      <c r="P9" s="2">
        <v>29.040100148000001</v>
      </c>
      <c r="Q9" s="13">
        <f t="shared" ref="Q9:Q18" si="2">O9/P9*100</f>
        <v>58.267472111887145</v>
      </c>
    </row>
    <row r="10" spans="1:17" x14ac:dyDescent="0.25">
      <c r="A10" s="24">
        <v>44044</v>
      </c>
      <c r="B10" s="3">
        <v>586</v>
      </c>
      <c r="C10" s="3">
        <v>2256.41</v>
      </c>
      <c r="D10" s="11">
        <v>1484.366</v>
      </c>
      <c r="E10" s="3">
        <v>65082</v>
      </c>
      <c r="F10" s="3">
        <v>178.286</v>
      </c>
      <c r="G10" s="3">
        <v>258.93799999999999</v>
      </c>
      <c r="H10" s="4">
        <f t="shared" si="0"/>
        <v>68.852775567896558</v>
      </c>
      <c r="I10" s="4">
        <v>301.12571000000003</v>
      </c>
      <c r="J10" s="4"/>
      <c r="K10" s="4">
        <f t="shared" si="1"/>
        <v>301.12571000000003</v>
      </c>
      <c r="L10" s="4">
        <v>15.273371789999999</v>
      </c>
      <c r="M10" s="4">
        <v>0.78530056440999996</v>
      </c>
      <c r="N10" s="4"/>
      <c r="O10" s="4">
        <v>16.05867235441</v>
      </c>
      <c r="P10" s="4">
        <v>18.0303073</v>
      </c>
      <c r="Q10" s="4">
        <f t="shared" si="2"/>
        <v>89.064884403883667</v>
      </c>
    </row>
    <row r="11" spans="1:17" x14ac:dyDescent="0.25">
      <c r="A11" s="25">
        <v>44075</v>
      </c>
      <c r="B11" s="1">
        <v>807</v>
      </c>
      <c r="C11" s="1">
        <v>3140.33</v>
      </c>
      <c r="D11" s="10">
        <v>2102.4340000000002</v>
      </c>
      <c r="E11" s="1">
        <v>99219</v>
      </c>
      <c r="F11" s="1">
        <v>264.49099999999999</v>
      </c>
      <c r="G11" s="1">
        <v>371.291</v>
      </c>
      <c r="H11" s="2">
        <f t="shared" si="0"/>
        <v>71.235499917854185</v>
      </c>
      <c r="I11" s="2">
        <v>486.57000000000011</v>
      </c>
      <c r="J11" s="2"/>
      <c r="K11" s="13">
        <f t="shared" si="1"/>
        <v>486.57000000000011</v>
      </c>
      <c r="L11" s="2">
        <v>22.868349569999999</v>
      </c>
      <c r="M11" s="2">
        <v>1.31759027565</v>
      </c>
      <c r="N11" s="2"/>
      <c r="O11" s="13">
        <v>24.185939845650001</v>
      </c>
      <c r="P11" s="2">
        <v>43.867869001000003</v>
      </c>
      <c r="Q11" s="13">
        <f t="shared" si="2"/>
        <v>55.1336100805322</v>
      </c>
    </row>
    <row r="12" spans="1:17" x14ac:dyDescent="0.25">
      <c r="A12" s="24">
        <v>44105</v>
      </c>
      <c r="B12" s="3">
        <v>961</v>
      </c>
      <c r="C12" s="3">
        <v>3617.3166000000001</v>
      </c>
      <c r="D12" s="11">
        <v>2447.681</v>
      </c>
      <c r="E12" s="3">
        <v>129991</v>
      </c>
      <c r="F12" s="3">
        <v>336.53800000000001</v>
      </c>
      <c r="G12" s="3">
        <v>432.97</v>
      </c>
      <c r="H12" s="4">
        <f t="shared" si="0"/>
        <v>77.72778714460587</v>
      </c>
      <c r="I12" s="4">
        <v>604.47799999999995</v>
      </c>
      <c r="J12" s="4"/>
      <c r="K12" s="4">
        <f t="shared" si="1"/>
        <v>604.47799999999995</v>
      </c>
      <c r="L12" s="4">
        <v>29.38735179</v>
      </c>
      <c r="M12" s="4">
        <v>1.54295869235</v>
      </c>
      <c r="N12" s="4"/>
      <c r="O12" s="4">
        <v>30.930310482350002</v>
      </c>
      <c r="P12" s="4">
        <v>48.659799727999996</v>
      </c>
      <c r="Q12" s="4">
        <f t="shared" si="2"/>
        <v>63.564401529075695</v>
      </c>
    </row>
    <row r="13" spans="1:17" x14ac:dyDescent="0.25">
      <c r="A13" s="25">
        <v>44136</v>
      </c>
      <c r="B13" s="1">
        <v>1033</v>
      </c>
      <c r="C13" s="1">
        <v>3572.8833300000001</v>
      </c>
      <c r="D13" s="10">
        <v>2513.4380000000001</v>
      </c>
      <c r="E13" s="1">
        <v>142830</v>
      </c>
      <c r="F13" s="1">
        <v>356.12799999999999</v>
      </c>
      <c r="G13" s="1">
        <v>441.04599999999999</v>
      </c>
      <c r="H13" s="2">
        <f t="shared" si="0"/>
        <v>80.746226017240829</v>
      </c>
      <c r="I13" s="2">
        <v>688.21299999999997</v>
      </c>
      <c r="J13" s="2"/>
      <c r="K13" s="13">
        <f t="shared" si="1"/>
        <v>688.21299999999997</v>
      </c>
      <c r="L13" s="2">
        <v>31.6281249</v>
      </c>
      <c r="M13" s="2">
        <v>1.7059446390000002</v>
      </c>
      <c r="N13" s="2"/>
      <c r="O13" s="13">
        <v>33.334069538999998</v>
      </c>
      <c r="P13" s="2">
        <v>52.370135445999999</v>
      </c>
      <c r="Q13" s="13">
        <f t="shared" si="2"/>
        <v>63.650913359526243</v>
      </c>
    </row>
    <row r="14" spans="1:17" x14ac:dyDescent="0.25">
      <c r="A14" s="24">
        <v>44166</v>
      </c>
      <c r="B14" s="3">
        <v>1251</v>
      </c>
      <c r="C14" s="3">
        <v>4516.53</v>
      </c>
      <c r="D14" s="11">
        <v>2976.9430000000002</v>
      </c>
      <c r="E14" s="3">
        <v>173098</v>
      </c>
      <c r="F14" s="3">
        <v>420.97300000000001</v>
      </c>
      <c r="G14" s="3">
        <v>527.46900000000005</v>
      </c>
      <c r="H14" s="4">
        <f t="shared" si="0"/>
        <v>79.809998312697033</v>
      </c>
      <c r="I14" s="4"/>
      <c r="J14" s="12">
        <v>840.12950999999975</v>
      </c>
      <c r="K14" s="4">
        <f t="shared" si="1"/>
        <v>840.12950999999975</v>
      </c>
      <c r="L14" s="4">
        <v>36.803298509999998</v>
      </c>
      <c r="M14" s="4">
        <v>0</v>
      </c>
      <c r="N14" s="4">
        <v>1.7377185377000002</v>
      </c>
      <c r="O14" s="4">
        <v>38.541017047699995</v>
      </c>
      <c r="P14" s="4">
        <v>59.51677711</v>
      </c>
      <c r="Q14" s="4">
        <f t="shared" si="2"/>
        <v>64.756559274820575</v>
      </c>
    </row>
    <row r="15" spans="1:17" x14ac:dyDescent="0.25">
      <c r="A15" s="25">
        <v>44197</v>
      </c>
      <c r="B15" s="1">
        <v>1605</v>
      </c>
      <c r="C15" s="1">
        <v>5941.95</v>
      </c>
      <c r="D15" s="8">
        <v>4255.6989999999996</v>
      </c>
      <c r="E15" s="1">
        <v>180217</v>
      </c>
      <c r="F15" s="1">
        <v>447.209</v>
      </c>
      <c r="G15" s="1">
        <v>614.904</v>
      </c>
      <c r="H15" s="2">
        <f t="shared" si="0"/>
        <v>72.728263273616705</v>
      </c>
      <c r="I15" s="2">
        <v>3146.8945899999999</v>
      </c>
      <c r="J15" s="2"/>
      <c r="K15" s="13">
        <f t="shared" si="1"/>
        <v>3146.8945899999999</v>
      </c>
      <c r="L15" s="2">
        <v>38.48053779</v>
      </c>
      <c r="M15" s="2">
        <v>6.1645518617899988</v>
      </c>
      <c r="N15" s="2"/>
      <c r="O15" s="13">
        <v>44.645089651790002</v>
      </c>
      <c r="P15" s="2">
        <v>76.569856909999999</v>
      </c>
      <c r="Q15" s="13">
        <f t="shared" si="2"/>
        <v>58.306351158871465</v>
      </c>
    </row>
    <row r="16" spans="1:17" x14ac:dyDescent="0.25">
      <c r="A16" s="24">
        <v>44228</v>
      </c>
      <c r="B16" s="3">
        <v>1552</v>
      </c>
      <c r="C16" s="3">
        <v>5610.55</v>
      </c>
      <c r="D16" s="3">
        <v>3636.1379999999999</v>
      </c>
      <c r="E16" s="3">
        <v>183348</v>
      </c>
      <c r="F16" s="3">
        <v>438.673</v>
      </c>
      <c r="G16" s="3">
        <v>585.59799999999996</v>
      </c>
      <c r="H16" s="4">
        <f t="shared" si="0"/>
        <v>74.910262671662124</v>
      </c>
      <c r="I16" s="4">
        <v>2894.1583400000009</v>
      </c>
      <c r="J16" s="4"/>
      <c r="K16" s="4">
        <f t="shared" si="1"/>
        <v>2894.1583400000009</v>
      </c>
      <c r="L16" s="4">
        <v>41.783137519999997</v>
      </c>
      <c r="M16" s="4">
        <v>2.4172866405200004</v>
      </c>
      <c r="N16" s="4"/>
      <c r="O16" s="4">
        <v>44.200424160520001</v>
      </c>
      <c r="P16" s="4">
        <v>63.539164984999999</v>
      </c>
      <c r="Q16" s="4">
        <f t="shared" si="2"/>
        <v>69.564062056771775</v>
      </c>
    </row>
    <row r="17" spans="1:17" x14ac:dyDescent="0.25">
      <c r="A17" s="25">
        <v>44256</v>
      </c>
      <c r="B17" s="1">
        <v>1846</v>
      </c>
      <c r="C17" s="1">
        <v>6604.1</v>
      </c>
      <c r="D17" s="1">
        <v>4250.8540000000003</v>
      </c>
      <c r="E17" s="1">
        <v>211386</v>
      </c>
      <c r="F17" s="1">
        <v>502.685</v>
      </c>
      <c r="G17" s="1">
        <v>701.50599999999997</v>
      </c>
      <c r="H17" s="2">
        <f t="shared" si="0"/>
        <v>71.657975840548758</v>
      </c>
      <c r="I17" s="2">
        <v>3692.0319299999996</v>
      </c>
      <c r="K17" s="13">
        <f t="shared" si="1"/>
        <v>3692.0319299999996</v>
      </c>
      <c r="L17" s="2">
        <v>47.89911257</v>
      </c>
      <c r="M17" s="2">
        <v>3.62349807922</v>
      </c>
      <c r="N17" s="2"/>
      <c r="O17" s="13">
        <v>51.522610649219999</v>
      </c>
      <c r="P17" s="2">
        <v>86.091286732000015</v>
      </c>
      <c r="Q17" s="13">
        <f t="shared" si="2"/>
        <v>59.846486915230543</v>
      </c>
    </row>
    <row r="18" spans="1:17" x14ac:dyDescent="0.25">
      <c r="A18" s="26" t="s">
        <v>22</v>
      </c>
      <c r="B18" s="5">
        <f>SUM(B6:B17)</f>
        <v>10368</v>
      </c>
      <c r="C18" s="5">
        <f t="shared" ref="C18:N18" si="3">SUM(C6:C17)</f>
        <v>37690.319929999998</v>
      </c>
      <c r="D18" s="5">
        <f t="shared" si="3"/>
        <v>25620.383999999998</v>
      </c>
      <c r="E18" s="5">
        <f t="shared" si="3"/>
        <v>1298199</v>
      </c>
      <c r="F18" s="5">
        <f t="shared" si="3"/>
        <v>3248.7319999999995</v>
      </c>
      <c r="G18" s="5">
        <f t="shared" si="3"/>
        <v>4292.8149999999996</v>
      </c>
      <c r="H18" s="6">
        <f t="shared" si="0"/>
        <v>75.678360236814299</v>
      </c>
      <c r="I18" s="6">
        <f t="shared" si="3"/>
        <v>11857.33257</v>
      </c>
      <c r="J18" s="6">
        <f>SUM(J6:J16)</f>
        <v>840.12950999999975</v>
      </c>
      <c r="K18" s="6">
        <f t="shared" si="3"/>
        <v>12697.462079999999</v>
      </c>
      <c r="L18" s="6">
        <f>SUM(L6:L17)</f>
        <v>290.03626299999996</v>
      </c>
      <c r="M18" s="6">
        <f>SUM(M6:M17)</f>
        <v>17.67260633994</v>
      </c>
      <c r="N18" s="6">
        <f t="shared" si="3"/>
        <v>1.7377185377000002</v>
      </c>
      <c r="O18" s="4">
        <f>SUM(O6:O17)</f>
        <v>309.44658787763996</v>
      </c>
      <c r="P18" s="6">
        <f>SUM(P6:P17)</f>
        <v>491.63468543900007</v>
      </c>
      <c r="Q18" s="14">
        <f t="shared" si="2"/>
        <v>62.942383245666008</v>
      </c>
    </row>
    <row r="19" spans="1:17" ht="15" customHeight="1" x14ac:dyDescent="0.25">
      <c r="A19" s="23" t="s">
        <v>21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</row>
    <row r="20" spans="1:17" x14ac:dyDescent="0.25">
      <c r="A20" s="22" t="s">
        <v>24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</row>
  </sheetData>
  <mergeCells count="14">
    <mergeCell ref="A20:Q20"/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INDIGO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2022-04-26T05:39:08Z</cp:lastPrinted>
  <dcterms:created xsi:type="dcterms:W3CDTF">2018-10-29T04:00:09Z</dcterms:created>
  <dcterms:modified xsi:type="dcterms:W3CDTF">2022-04-26T05:39:42Z</dcterms:modified>
</cp:coreProperties>
</file>