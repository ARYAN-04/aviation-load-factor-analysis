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AKASA AIR\"/>
    </mc:Choice>
  </mc:AlternateContent>
  <bookViews>
    <workbookView xWindow="0" yWindow="0" windowWidth="24000" windowHeight="9435"/>
  </bookViews>
  <sheets>
    <sheet name="AKASA AIR" sheetId="7" r:id="rId1"/>
  </sheets>
  <definedNames>
    <definedName name="_xlnm.Print_Area" localSheetId="0">'AKASA AIR'!$A$1:$Q$19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" i="7" l="1"/>
  <c r="Q8" i="7"/>
  <c r="Q7" i="7"/>
  <c r="Q6" i="7"/>
  <c r="H9" i="7"/>
  <c r="H8" i="7"/>
  <c r="H7" i="7"/>
  <c r="H6" i="7"/>
  <c r="Q17" i="7" l="1"/>
  <c r="Q16" i="7"/>
  <c r="Q15" i="7"/>
  <c r="Q14" i="7"/>
  <c r="Q13" i="7"/>
  <c r="Q12" i="7"/>
  <c r="Q11" i="7"/>
  <c r="Q10" i="7"/>
  <c r="H17" i="7"/>
  <c r="H16" i="7"/>
  <c r="H15" i="7"/>
  <c r="H14" i="7"/>
  <c r="H13" i="7"/>
  <c r="H12" i="7"/>
  <c r="H11" i="7"/>
  <c r="H10" i="7"/>
  <c r="P18" i="7" l="1"/>
  <c r="O18" i="7"/>
  <c r="Q18" i="7" s="1"/>
  <c r="N18" i="7"/>
  <c r="M18" i="7"/>
  <c r="L18" i="7"/>
  <c r="K18" i="7"/>
  <c r="J18" i="7"/>
  <c r="I18" i="7"/>
  <c r="G18" i="7"/>
  <c r="F18" i="7"/>
  <c r="H18" i="7" s="1"/>
  <c r="E18" i="7"/>
  <c r="D18" i="7"/>
  <c r="C18" i="7"/>
  <c r="B18" i="7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<sst xmlns="http://schemas.openxmlformats.org/spreadsheetml/2006/main" count="26" uniqueCount="24">
  <si>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</si>
  <si>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</si>
  <si>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</si>
  <si>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</si>
  <si>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</si>
  <si>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</si>
  <si>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</si>
  <si>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</si>
  <si>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</si>
  <si>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</si>
  <si>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</si>
  <si>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</si>
  <si>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</si>
  <si>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</si>
  <si>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</si>
  <si>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</si>
  <si>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</si>
  <si>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</si>
  <si>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</si>
  <si>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1.01 (AKASA AIR)</t>
  </si>
  <si>
    <t>SOURCE:-  ICAO ATR FORM 'A' FURNISHED BY AKASA AIR</t>
  </si>
  <si>
    <t xml:space="preserve">तालिका 1.01 (अकासा एयर) </t>
  </si>
  <si>
    <t>2024-25</t>
  </si>
  <si>
    <t>MONTHLY TRAFFIC AND OPERATING STATISTICS OF AKASA AIR ON SCHEDULED DOMESTIC SERVICES DURING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</si>
</sst>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0.0"/>
    <numFmt numFmtId="169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0">
    <xf numFmtId="0" fontId="0" fillId="0" borderId="0" xfId="0"/>
    <xf numFmtId="0" fontId="2" fillId="3" borderId="1" xfId="2" applyFont="1" applyBorder="1" applyAlignment="1" applyProtection="1">
      <alignment horizontal="center" vertical="center" textRotation="90" wrapText="1"/>
    </xf>
    <xf numFmtId="166" fontId="3" fillId="5" borderId="1" xfId="4" applyNumberFormat="1" applyBorder="1" applyAlignment="1">
      <alignment horizontal="right" vertical="top"/>
    </xf>
    <xf numFmtId="165" fontId="0" fillId="0" borderId="1" xfId="1" applyNumberFormat="1" applyFont="1" applyBorder="1" applyAlignment="1">
      <alignment horizontal="right" vertical="top"/>
    </xf>
    <xf numFmtId="166" fontId="0" fillId="0" borderId="1" xfId="1" applyNumberFormat="1" applyFont="1" applyBorder="1" applyAlignment="1">
      <alignment horizontal="right" vertical="top"/>
    </xf>
    <xf numFmtId="165" fontId="3" fillId="5" borderId="1" xfId="4" applyNumberFormat="1" applyBorder="1" applyAlignment="1">
      <alignment horizontal="right" vertical="top"/>
    </xf>
    <xf numFmtId="0" fontId="4" fillId="5" borderId="1" xfId="4" applyFont="1" applyBorder="1" applyAlignment="1" applyProtection="1">
      <alignment horizontal="center" vertical="top" wrapText="1"/>
    </xf>
    <xf numFmtId="3" fontId="4" fillId="5" borderId="1" xfId="4" applyNumberFormat="1" applyFont="1" applyBorder="1" applyAlignment="1" applyProtection="1">
      <alignment horizontal="right" vertical="top" wrapText="1"/>
    </xf>
    <xf numFmtId="167" fontId="4" fillId="5" borderId="1" xfId="4" applyNumberFormat="1" applyFont="1" applyBorder="1" applyAlignment="1" applyProtection="1">
      <alignment horizontal="right" vertical="top" wrapText="1"/>
    </xf>
    <xf numFmtId="168" fontId="4" fillId="4" borderId="1" xfId="3" applyNumberFormat="1" applyFont="1" applyBorder="1" applyAlignment="1" applyProtection="1">
      <alignment horizontal="center" vertical="top" wrapText="1"/>
    </xf>
    <xf numFmtId="169" fontId="3" fillId="5" borderId="1" xfId="4" applyNumberFormat="1" applyFont="1" applyBorder="1" applyAlignment="1" applyProtection="1">
      <alignment horizontal="center" vertical="top"/>
    </xf>
    <xf numFmtId="169" fontId="3" fillId="6" borderId="1" xfId="4" applyNumberFormat="1" applyFont="1" applyFill="1" applyBorder="1" applyAlignment="1" applyProtection="1">
      <alignment horizontal="center" vertical="top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top" wrapText="1"/>
    </xf>
    <xf numFmtId="0" fontId="2" fillId="5" borderId="1" xfId="4" applyFont="1" applyBorder="1" applyAlignment="1">
      <alignment horizontal="center" vertical="center" wrapText="1"/>
    </xf>
    <xf numFmtId="0" fontId="2" fillId="5" borderId="1" xfId="4" quotePrefix="1" applyFont="1" applyBorder="1" applyAlignment="1" applyProtection="1">
      <alignment horizontal="center" vertical="center" wrapText="1"/>
    </xf>
    <xf numFmtId="0" fontId="2" fillId="5" borderId="1" xfId="4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5">
    <cellStyle name="20% - Accent2" xfId="3" builtinId="34"/>
    <cellStyle name="40% - Accent2" xfId="4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115" zoomScaleNormal="100" zoomScaleSheetLayoutView="115" workbookViewId="0">
      <selection activeCell="B18" sqref="B18"/>
    </sheetView>
  </sheetViews>
  <sheetFormatPr defaultRowHeight="15" x14ac:dyDescent="0.25"/>
  <cols>
    <col min="1" max="1" width="14.7109375" customWidth="1"/>
    <col min="2" max="2" width="8" customWidth="1"/>
    <col min="3" max="3" width="9" customWidth="1"/>
    <col min="4" max="4" width="7.42578125" customWidth="1"/>
    <col min="5" max="5" width="11" customWidth="1"/>
    <col min="6" max="6" width="8.42578125" customWidth="1"/>
    <col min="7" max="7" width="8.28515625" customWidth="1"/>
    <col min="8" max="8" width="7.28515625" customWidth="1"/>
    <col min="9" max="9" width="8.7109375" customWidth="1"/>
    <col min="10" max="10" width="8.28515625" customWidth="1"/>
    <col min="11" max="11" width="9.140625" customWidth="1"/>
    <col min="12" max="12" width="8.5703125" customWidth="1"/>
    <col min="13" max="13" width="5.85546875" customWidth="1"/>
    <col min="14" max="14" width="5.7109375" customWidth="1"/>
    <col min="15" max="15" width="6.42578125" customWidth="1"/>
    <col min="17" max="17" width="8.85546875" customWidth="1"/>
  </cols>
  <sheetData>
    <row r="1" spans="1:17" x14ac:dyDescent="0.25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23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35.450000000000003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12" t="s">
        <v>3</v>
      </c>
      <c r="H4" s="12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12" t="s">
        <v>7</v>
      </c>
      <c r="Q4" s="12" t="s">
        <v>8</v>
      </c>
    </row>
    <row r="5" spans="1:17" ht="103.5" customHeight="1" x14ac:dyDescent="0.25">
      <c r="A5" s="18"/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3"/>
      <c r="H5" s="13"/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15</v>
      </c>
      <c r="O5" s="1" t="s">
        <v>16</v>
      </c>
      <c r="P5" s="13"/>
      <c r="Q5" s="13"/>
    </row>
    <row r="6" spans="1:17" x14ac:dyDescent="0.25">
      <c r="A6" s="10">
        <v>45383</v>
      </c>
      <c r="B6" s="5">
        <v>3605</v>
      </c>
      <c r="C6" s="5">
        <v>7333.1166599999997</v>
      </c>
      <c r="D6" s="5">
        <v>3695.3760000000002</v>
      </c>
      <c r="E6" s="5">
        <v>579539</v>
      </c>
      <c r="F6" s="2">
        <v>602.15691000000004</v>
      </c>
      <c r="G6" s="2">
        <v>685.22400500000003</v>
      </c>
      <c r="H6" s="2">
        <f t="shared" ref="H6:H9" si="0">F6/G6*100</f>
        <v>87.877381061686535</v>
      </c>
      <c r="I6" s="2">
        <v>3352.6206400000001</v>
      </c>
      <c r="J6" s="2">
        <v>162.36268000000001</v>
      </c>
      <c r="K6" s="2">
        <v>3514.9833200000003</v>
      </c>
      <c r="L6" s="2">
        <v>49.46244489</v>
      </c>
      <c r="M6" s="2">
        <v>3.6399724400000002</v>
      </c>
      <c r="N6" s="2">
        <v>0.18973401999999998</v>
      </c>
      <c r="O6" s="2">
        <v>53.292151349999997</v>
      </c>
      <c r="P6" s="2">
        <v>75.777380280000003</v>
      </c>
      <c r="Q6" s="2">
        <f t="shared" ref="Q6:Q9" si="1">O6/P6*100</f>
        <v>70.327254852415962</v>
      </c>
    </row>
    <row r="7" spans="1:17" x14ac:dyDescent="0.25">
      <c r="A7" s="11">
        <v>45413</v>
      </c>
      <c r="B7" s="3">
        <v>3937</v>
      </c>
      <c r="C7" s="3">
        <v>8266.5666666666675</v>
      </c>
      <c r="D7" s="3">
        <v>4222.1210000000001</v>
      </c>
      <c r="E7" s="3">
        <v>663762</v>
      </c>
      <c r="F7" s="4">
        <v>707.95532200000002</v>
      </c>
      <c r="G7" s="4">
        <v>783.21220700000003</v>
      </c>
      <c r="H7" s="4">
        <f t="shared" si="0"/>
        <v>90.39125229058132</v>
      </c>
      <c r="I7" s="4">
        <v>4590.3434399999996</v>
      </c>
      <c r="J7" s="4">
        <v>179.47937999999999</v>
      </c>
      <c r="K7" s="4">
        <v>4769.8228199999994</v>
      </c>
      <c r="L7" s="4">
        <v>58.010936489999999</v>
      </c>
      <c r="M7" s="4">
        <v>5.0883803500000004</v>
      </c>
      <c r="N7" s="4">
        <v>0.21582051000000002</v>
      </c>
      <c r="O7" s="4">
        <v>63.315137350000001</v>
      </c>
      <c r="P7" s="4">
        <v>86.57881325999999</v>
      </c>
      <c r="Q7" s="4">
        <f t="shared" si="1"/>
        <v>73.130059151841053</v>
      </c>
    </row>
    <row r="8" spans="1:17" x14ac:dyDescent="0.25">
      <c r="A8" s="10">
        <v>45444</v>
      </c>
      <c r="B8" s="5">
        <v>3845</v>
      </c>
      <c r="C8" s="5">
        <v>8148.1660000000002</v>
      </c>
      <c r="D8" s="5">
        <v>4148.7039999999997</v>
      </c>
      <c r="E8" s="5">
        <v>634429</v>
      </c>
      <c r="F8" s="2">
        <v>691.51016700000002</v>
      </c>
      <c r="G8" s="2">
        <v>771.646477</v>
      </c>
      <c r="H8" s="2">
        <f t="shared" si="0"/>
        <v>89.614893297828147</v>
      </c>
      <c r="I8" s="2">
        <v>4548.5559800000001</v>
      </c>
      <c r="J8" s="2">
        <v>201.26604</v>
      </c>
      <c r="K8" s="2">
        <v>4749.8220200000005</v>
      </c>
      <c r="L8" s="2">
        <v>56.855446279999995</v>
      </c>
      <c r="M8" s="2">
        <v>5.0282025499999996</v>
      </c>
      <c r="N8" s="2">
        <v>0.23124650999999999</v>
      </c>
      <c r="O8" s="2">
        <v>62.114895339999997</v>
      </c>
      <c r="P8" s="2">
        <v>85.07332421000001</v>
      </c>
      <c r="Q8" s="2">
        <f t="shared" si="1"/>
        <v>73.013363374248698</v>
      </c>
    </row>
    <row r="9" spans="1:17" x14ac:dyDescent="0.25">
      <c r="A9" s="11">
        <v>45474</v>
      </c>
      <c r="B9" s="3">
        <v>3808</v>
      </c>
      <c r="C9" s="3">
        <v>8223.3166666666675</v>
      </c>
      <c r="D9" s="3">
        <v>4106.42</v>
      </c>
      <c r="E9" s="3">
        <v>604187</v>
      </c>
      <c r="F9" s="4">
        <v>659.29631900000004</v>
      </c>
      <c r="G9" s="4">
        <v>762.84090700000002</v>
      </c>
      <c r="H9" s="4">
        <f t="shared" si="0"/>
        <v>86.426450515454604</v>
      </c>
      <c r="I9" s="4">
        <v>4608.9377599999998</v>
      </c>
      <c r="J9" s="4">
        <v>231.84383</v>
      </c>
      <c r="K9" s="4">
        <v>4840.7815899999996</v>
      </c>
      <c r="L9" s="4">
        <v>54.30414811</v>
      </c>
      <c r="M9" s="4">
        <v>5.1266118900000004</v>
      </c>
      <c r="N9" s="4">
        <v>0.26823815000000001</v>
      </c>
      <c r="O9" s="4">
        <v>59.698998150000001</v>
      </c>
      <c r="P9" s="4">
        <v>84.206248500000001</v>
      </c>
      <c r="Q9" s="4">
        <f t="shared" si="1"/>
        <v>70.896161761677348</v>
      </c>
    </row>
    <row r="10" spans="1:17" x14ac:dyDescent="0.25">
      <c r="A10" s="10">
        <v>45505</v>
      </c>
      <c r="B10" s="5">
        <v>3718</v>
      </c>
      <c r="C10" s="5">
        <v>8112.66</v>
      </c>
      <c r="D10" s="5">
        <v>4098.9120000000003</v>
      </c>
      <c r="E10" s="5">
        <v>591857</v>
      </c>
      <c r="F10" s="2">
        <v>649.7243860000001</v>
      </c>
      <c r="G10" s="2">
        <v>759.70017599999994</v>
      </c>
      <c r="H10" s="2">
        <f t="shared" ref="H10:H17" si="2">F10/G10*100</f>
        <v>85.523790374901807</v>
      </c>
      <c r="I10" s="2">
        <v>4312.2212900000004</v>
      </c>
      <c r="J10" s="2">
        <v>200.01308</v>
      </c>
      <c r="K10" s="2">
        <v>4512.2343700000001</v>
      </c>
      <c r="L10" s="2">
        <v>53.314027490000001</v>
      </c>
      <c r="M10" s="2">
        <v>4.9089252100000005</v>
      </c>
      <c r="N10" s="2">
        <v>0.23840855</v>
      </c>
      <c r="O10" s="2">
        <v>58.461361250000003</v>
      </c>
      <c r="P10" s="2">
        <v>84.052289470000005</v>
      </c>
      <c r="Q10" s="2">
        <f t="shared" ref="Q10:Q17" si="3">O10/P10*100</f>
        <v>69.553561977471261</v>
      </c>
    </row>
    <row r="11" spans="1:17" x14ac:dyDescent="0.25">
      <c r="A11" s="11">
        <v>45536</v>
      </c>
      <c r="B11" s="3">
        <v>3563</v>
      </c>
      <c r="C11" s="3">
        <v>7791.35</v>
      </c>
      <c r="D11" s="3">
        <v>3953.16</v>
      </c>
      <c r="E11" s="3">
        <v>572972</v>
      </c>
      <c r="F11" s="4">
        <v>634.60584400000005</v>
      </c>
      <c r="G11" s="4">
        <v>739.07255599999996</v>
      </c>
      <c r="H11" s="4">
        <f t="shared" si="2"/>
        <v>85.865161525494401</v>
      </c>
      <c r="I11" s="4">
        <v>4851.4433600000002</v>
      </c>
      <c r="J11" s="4">
        <v>192.07354000000001</v>
      </c>
      <c r="K11" s="4">
        <v>5043.5169000000005</v>
      </c>
      <c r="L11" s="4">
        <v>52.042228479999999</v>
      </c>
      <c r="M11" s="4">
        <v>5.5371323800000001</v>
      </c>
      <c r="N11" s="4">
        <v>0.24049972999999999</v>
      </c>
      <c r="O11" s="4">
        <v>57.819860590000005</v>
      </c>
      <c r="P11" s="4">
        <v>81.063498969999998</v>
      </c>
      <c r="Q11" s="4">
        <f t="shared" si="3"/>
        <v>71.326628290987031</v>
      </c>
    </row>
    <row r="12" spans="1:17" x14ac:dyDescent="0.25">
      <c r="A12" s="10">
        <v>45566</v>
      </c>
      <c r="B12" s="5">
        <v>3841</v>
      </c>
      <c r="C12" s="5">
        <v>8532.8166666666675</v>
      </c>
      <c r="D12" s="5">
        <v>4425.4660000000003</v>
      </c>
      <c r="E12" s="5">
        <v>615370</v>
      </c>
      <c r="F12" s="2">
        <v>714.11474699999997</v>
      </c>
      <c r="G12" s="2">
        <v>833.48479000000009</v>
      </c>
      <c r="H12" s="2">
        <f t="shared" si="2"/>
        <v>85.678197798906425</v>
      </c>
      <c r="I12" s="2">
        <v>4820.5694100000001</v>
      </c>
      <c r="J12" s="2">
        <v>186.71485999999999</v>
      </c>
      <c r="K12" s="2">
        <v>5007.2842700000001</v>
      </c>
      <c r="L12" s="2">
        <v>58.986099580000001</v>
      </c>
      <c r="M12" s="2">
        <v>5.62028646</v>
      </c>
      <c r="N12" s="2">
        <v>0.23045732000000002</v>
      </c>
      <c r="O12" s="2">
        <v>64.836843360000003</v>
      </c>
      <c r="P12" s="2">
        <v>90.748605779999991</v>
      </c>
      <c r="Q12" s="2">
        <f t="shared" si="3"/>
        <v>71.446655078296899</v>
      </c>
    </row>
    <row r="13" spans="1:17" x14ac:dyDescent="0.25">
      <c r="A13" s="11">
        <v>45597</v>
      </c>
      <c r="B13" s="3">
        <v>3881</v>
      </c>
      <c r="C13" s="3">
        <v>8730.9</v>
      </c>
      <c r="D13" s="3">
        <v>4601.8710000000001</v>
      </c>
      <c r="E13" s="3">
        <v>672121</v>
      </c>
      <c r="F13" s="4">
        <v>803.209656</v>
      </c>
      <c r="G13" s="4">
        <v>867.59384900000009</v>
      </c>
      <c r="H13" s="4">
        <f t="shared" si="2"/>
        <v>92.578993837472439</v>
      </c>
      <c r="I13" s="4">
        <v>4011.94967</v>
      </c>
      <c r="J13" s="4">
        <v>190.39927</v>
      </c>
      <c r="K13" s="4">
        <v>4202.3489399999999</v>
      </c>
      <c r="L13" s="4">
        <v>67.04311577</v>
      </c>
      <c r="M13" s="4">
        <v>4.7902677899999997</v>
      </c>
      <c r="N13" s="4">
        <v>0.24386650000000001</v>
      </c>
      <c r="O13" s="4">
        <v>72.077250060000011</v>
      </c>
      <c r="P13" s="4">
        <v>94.365966729999997</v>
      </c>
      <c r="Q13" s="4">
        <f t="shared" si="3"/>
        <v>76.380555996662991</v>
      </c>
    </row>
    <row r="14" spans="1:17" x14ac:dyDescent="0.25">
      <c r="A14" s="10">
        <v>45627</v>
      </c>
      <c r="B14" s="5">
        <v>3920</v>
      </c>
      <c r="C14" s="5">
        <v>8844.51</v>
      </c>
      <c r="D14" s="5">
        <v>4618.402</v>
      </c>
      <c r="E14" s="5">
        <v>686835</v>
      </c>
      <c r="F14" s="2">
        <v>811.90692200000001</v>
      </c>
      <c r="G14" s="2">
        <v>870.19805900000006</v>
      </c>
      <c r="H14" s="2">
        <f t="shared" si="2"/>
        <v>93.301394274886562</v>
      </c>
      <c r="I14" s="2">
        <v>4606.4815900000003</v>
      </c>
      <c r="J14" s="2">
        <v>269.43087000000003</v>
      </c>
      <c r="K14" s="2">
        <v>4875.9124600000005</v>
      </c>
      <c r="L14" s="2">
        <v>67.907505229999998</v>
      </c>
      <c r="M14" s="2">
        <v>5.3365475800000004</v>
      </c>
      <c r="N14" s="2">
        <v>0.34177729000000001</v>
      </c>
      <c r="O14" s="2">
        <v>73.585830099999995</v>
      </c>
      <c r="P14" s="2">
        <v>94.704951390000005</v>
      </c>
      <c r="Q14" s="2">
        <f t="shared" si="3"/>
        <v>77.700087503312943</v>
      </c>
    </row>
    <row r="15" spans="1:17" x14ac:dyDescent="0.25">
      <c r="A15" s="11">
        <v>45658</v>
      </c>
      <c r="B15" s="3">
        <v>3902</v>
      </c>
      <c r="C15" s="3">
        <v>8808.4</v>
      </c>
      <c r="D15" s="3">
        <v>4614.1859999999997</v>
      </c>
      <c r="E15" s="3">
        <v>685848</v>
      </c>
      <c r="F15" s="4">
        <v>815.42319900000007</v>
      </c>
      <c r="G15" s="4">
        <v>869.50425300000006</v>
      </c>
      <c r="H15" s="4">
        <f t="shared" si="2"/>
        <v>93.780242728726478</v>
      </c>
      <c r="I15" s="4">
        <v>4214.3662599999998</v>
      </c>
      <c r="J15" s="4">
        <v>299.36882000000003</v>
      </c>
      <c r="K15" s="4">
        <v>4513.7350799999995</v>
      </c>
      <c r="L15" s="4">
        <v>68.264061709999993</v>
      </c>
      <c r="M15" s="4">
        <v>4.9124527999999996</v>
      </c>
      <c r="N15" s="4">
        <v>0.37279221000000001</v>
      </c>
      <c r="O15" s="4">
        <v>73.54930671999999</v>
      </c>
      <c r="P15" s="4">
        <v>94.618498049999999</v>
      </c>
      <c r="Q15" s="4">
        <f t="shared" si="3"/>
        <v>77.732481740656837</v>
      </c>
    </row>
    <row r="16" spans="1:17" x14ac:dyDescent="0.25">
      <c r="A16" s="10">
        <v>45689</v>
      </c>
      <c r="B16" s="5">
        <v>3681</v>
      </c>
      <c r="C16" s="5">
        <v>8332.6166666666668</v>
      </c>
      <c r="D16" s="5">
        <v>4375.1840000000002</v>
      </c>
      <c r="E16" s="5">
        <v>657633</v>
      </c>
      <c r="F16" s="2">
        <v>785.47580400000004</v>
      </c>
      <c r="G16" s="2">
        <v>825.47443999999996</v>
      </c>
      <c r="H16" s="2">
        <f t="shared" si="2"/>
        <v>95.154467048065115</v>
      </c>
      <c r="I16" s="2">
        <v>3886.2806599999999</v>
      </c>
      <c r="J16" s="2">
        <v>246.53446</v>
      </c>
      <c r="K16" s="2">
        <v>4132.8151200000002</v>
      </c>
      <c r="L16" s="2">
        <v>65.548788350000009</v>
      </c>
      <c r="M16" s="2">
        <v>4.5072912599999997</v>
      </c>
      <c r="N16" s="2">
        <v>0.31152238999999998</v>
      </c>
      <c r="O16" s="2">
        <v>70.367602000000005</v>
      </c>
      <c r="P16" s="2">
        <v>89.717523119999996</v>
      </c>
      <c r="Q16" s="2">
        <f t="shared" si="3"/>
        <v>78.43239486881636</v>
      </c>
    </row>
    <row r="17" spans="1:17" x14ac:dyDescent="0.25">
      <c r="A17" s="11">
        <v>45717</v>
      </c>
      <c r="B17" s="3">
        <v>4135</v>
      </c>
      <c r="C17" s="3">
        <v>9346.6166666666668</v>
      </c>
      <c r="D17" s="3">
        <v>4910.7060000000001</v>
      </c>
      <c r="E17" s="3">
        <v>719271</v>
      </c>
      <c r="F17" s="4">
        <v>857.58672100000001</v>
      </c>
      <c r="G17" s="4">
        <v>927.06068200000004</v>
      </c>
      <c r="H17" s="4">
        <f t="shared" si="2"/>
        <v>92.50599638740799</v>
      </c>
      <c r="I17" s="4">
        <v>4614.3786600000003</v>
      </c>
      <c r="J17" s="4">
        <v>241.60654</v>
      </c>
      <c r="K17" s="4">
        <v>4855.9852000000001</v>
      </c>
      <c r="L17" s="4">
        <v>71.11232785</v>
      </c>
      <c r="M17" s="4">
        <v>5.29655991</v>
      </c>
      <c r="N17" s="4">
        <v>0.29965176000000004</v>
      </c>
      <c r="O17" s="4">
        <v>76.708539519999988</v>
      </c>
      <c r="P17" s="4">
        <v>100.69893723999999</v>
      </c>
      <c r="Q17" s="4">
        <f t="shared" si="3"/>
        <v>76.176116275365757</v>
      </c>
    </row>
    <row r="18" spans="1:17" x14ac:dyDescent="0.25">
      <c r="A18" s="6" t="s">
        <v>22</v>
      </c>
      <c r="B18" s="7">
        <f>SUM(B6:B17)</f>
        <v>45836</v>
      </c>
      <c r="C18" s="7">
        <f t="shared" ref="C18:G18" si="4">SUM(C6:C17)</f>
        <v>100471.03599333332</v>
      </c>
      <c r="D18" s="7">
        <f t="shared" si="4"/>
        <v>51770.508000000009</v>
      </c>
      <c r="E18" s="7">
        <f t="shared" si="4"/>
        <v>7683824</v>
      </c>
      <c r="F18" s="8">
        <f t="shared" si="4"/>
        <v>8732.9659969999993</v>
      </c>
      <c r="G18" s="8">
        <f t="shared" si="4"/>
        <v>9695.012401</v>
      </c>
      <c r="H18" s="9">
        <f t="shared" ref="H18" si="5">F18/G18*100</f>
        <v>90.076893517941556</v>
      </c>
      <c r="I18" s="8">
        <f>SUM(I6:I17)</f>
        <v>52418.148720000005</v>
      </c>
      <c r="J18" s="8">
        <f t="shared" ref="J18:P18" si="6">SUM(J6:J17)</f>
        <v>2601.0933700000005</v>
      </c>
      <c r="K18" s="8">
        <f t="shared" si="6"/>
        <v>55019.24209</v>
      </c>
      <c r="L18" s="8">
        <f t="shared" si="6"/>
        <v>722.85113022999997</v>
      </c>
      <c r="M18" s="8">
        <f t="shared" si="6"/>
        <v>59.792630620000004</v>
      </c>
      <c r="N18" s="8">
        <f t="shared" si="6"/>
        <v>3.18401494</v>
      </c>
      <c r="O18" s="8">
        <f t="shared" si="6"/>
        <v>785.82777579000003</v>
      </c>
      <c r="P18" s="8">
        <f t="shared" si="6"/>
        <v>1061.606037</v>
      </c>
      <c r="Q18" s="8">
        <f t="shared" ref="Q18" si="7">O18/P18*100</f>
        <v>74.022542110882895</v>
      </c>
    </row>
    <row r="19" spans="1:17" x14ac:dyDescent="0.25">
      <c r="A19" s="14" t="s">
        <v>20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0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AKASA AIR</vt:lpstr>
      <vt:lpstr>'AKASA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2023-12-01T05:57:55Z</cp:lastPrinted>
  <dcterms:created xsi:type="dcterms:W3CDTF">2018-10-29T04:00:07Z</dcterms:created>
  <dcterms:modified xsi:type="dcterms:W3CDTF">2025-11-10T07:34:23Z</dcterms:modified>
</cp:coreProperties>
</file>