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showHorizontalScroll="0" showVerticalScroll="0" xWindow="0" yWindow="0" windowWidth="24000" windowHeight="9435"/>
  </bookViews>
  <sheets>
    <sheet name="AIR INDIA " sheetId="1" r:id="rId1"/>
  </sheets>
  <definedNames>
    <definedName name="_xlnm.Print_Area" localSheetId="0">'AIR INDIA 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B18" i="1" l="1"/>
  <c r="C18" i="1"/>
  <c r="D18" i="1"/>
  <c r="E18" i="1"/>
  <c r="F18" i="1"/>
  <c r="G18" i="1"/>
  <c r="H18" i="1" l="1"/>
  <c r="I18" i="1"/>
  <c r="J18" i="1"/>
  <c r="K18" i="1"/>
  <c r="L18" i="1"/>
  <c r="M18" i="1"/>
  <c r="N18" i="1"/>
  <c r="O18" i="1"/>
  <c r="P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<sst xmlns="http://schemas.openxmlformats.org/spreadsheetml/2006/main" count="26" uniqueCount="24">
  <si>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</si>
  <si>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</si>
  <si>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</si>
  <si>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</si>
  <si>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</si>
  <si>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</si>
  <si>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</si>
  <si>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</si>
  <si>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</si>
  <si>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</si>
  <si>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</si>
  <si>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</si>
  <si>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</si>
  <si>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</si>
  <si>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</si>
  <si>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</si>
  <si>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</si>
  <si>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</si>
  <si>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</si>
  <si>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(एयर इंडिया) </t>
  </si>
  <si>
    <t>Table 1.02 (AIR INDIA)</t>
  </si>
  <si>
    <t>SOURCE:-  ICAO ATR FORM 'A' FURNISHED BY AIR INDIA</t>
  </si>
  <si>
    <t>MONTHLY TRAFFIC AND OPERATING STATISTICS OF AIR INDIA ON SCHEDULED INTERNATIONAL SERVICES DURING 2019-20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</si>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</sst>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topLeftCell="A6" zoomScaleSheetLayoutView="100" workbookViewId="0">
      <selection activeCell="Y10" sqref="Y10"/>
    </sheetView>
  </sheetViews>
  <sheetFormatPr defaultRowHeight="15" x14ac:dyDescent="0.25"/>
  <cols>
    <col min="1" max="1" width="9.28515625" style="1" customWidth="1"/>
    <col min="2" max="2" width="7.7109375" style="1" customWidth="1"/>
    <col min="3" max="4" width="9" style="1" customWidth="1"/>
    <col min="5" max="5" width="10.140625" style="1" customWidth="1"/>
    <col min="6" max="7" width="7.85546875" style="1" customWidth="1"/>
    <col min="8" max="8" width="7.5703125" style="1" customWidth="1"/>
    <col min="9" max="9" width="11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28.25" customHeight="1" x14ac:dyDescent="0.25">
      <c r="A5" s="18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3"/>
      <c r="H5" s="13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3"/>
      <c r="Q5" s="13"/>
    </row>
    <row r="6" spans="1:17" ht="30" customHeight="1" x14ac:dyDescent="0.25">
      <c r="A6" s="5">
        <v>43556</v>
      </c>
      <c r="B6" s="6">
        <v>3377</v>
      </c>
      <c r="C6" s="6">
        <v>20466</v>
      </c>
      <c r="D6" s="6">
        <v>21691</v>
      </c>
      <c r="E6" s="6">
        <v>598024</v>
      </c>
      <c r="F6" s="6">
        <v>2847.2539500000003</v>
      </c>
      <c r="G6" s="6">
        <v>3571.8475899999999</v>
      </c>
      <c r="H6" s="7">
        <f t="shared" ref="H6:H18" si="0">F6/G6*100</f>
        <v>79.713758167380263</v>
      </c>
      <c r="I6" s="7">
        <v>11976.2549</v>
      </c>
      <c r="J6" s="7">
        <v>361.94299999999998</v>
      </c>
      <c r="K6" s="7">
        <v>12338.197899999999</v>
      </c>
      <c r="L6" s="7">
        <v>278.20828</v>
      </c>
      <c r="M6" s="7">
        <v>69.873770000000007</v>
      </c>
      <c r="N6" s="7">
        <v>1.7992699999999999</v>
      </c>
      <c r="O6" s="7">
        <v>349.88132000000007</v>
      </c>
      <c r="P6" s="7">
        <v>515.48410000000001</v>
      </c>
      <c r="Q6" s="7">
        <f t="shared" ref="Q6:Q18" si="1">O6/P6*100</f>
        <v>67.874318528932335</v>
      </c>
    </row>
    <row r="7" spans="1:17" ht="30" customHeight="1" x14ac:dyDescent="0.25">
      <c r="A7" s="2">
        <v>43586</v>
      </c>
      <c r="B7" s="3">
        <v>3444</v>
      </c>
      <c r="C7" s="3">
        <v>21090.01666666667</v>
      </c>
      <c r="D7" s="3">
        <v>22978.25</v>
      </c>
      <c r="E7" s="3">
        <v>598769</v>
      </c>
      <c r="F7" s="3">
        <v>3033.4517609999998</v>
      </c>
      <c r="G7" s="3">
        <v>3699.4702499999999</v>
      </c>
      <c r="H7" s="4">
        <f t="shared" si="0"/>
        <v>81.996922694539847</v>
      </c>
      <c r="I7" s="4">
        <v>12780.7667</v>
      </c>
      <c r="J7" s="4">
        <v>499.62299999999999</v>
      </c>
      <c r="K7" s="4">
        <v>13280.3897</v>
      </c>
      <c r="L7" s="4">
        <v>309.11168596300001</v>
      </c>
      <c r="M7" s="4">
        <v>71.505873342300006</v>
      </c>
      <c r="N7" s="4">
        <v>2.4612669999999999</v>
      </c>
      <c r="O7" s="4">
        <v>383.07882630529997</v>
      </c>
      <c r="P7" s="4">
        <v>534.65432517600027</v>
      </c>
      <c r="Q7" s="4">
        <f t="shared" si="1"/>
        <v>71.649813396570977</v>
      </c>
    </row>
    <row r="8" spans="1:17" ht="30" customHeight="1" x14ac:dyDescent="0.25">
      <c r="A8" s="5">
        <v>43617</v>
      </c>
      <c r="B8" s="6">
        <v>3432</v>
      </c>
      <c r="C8" s="6">
        <v>20627.799999999988</v>
      </c>
      <c r="D8" s="6">
        <v>21460.312000000002</v>
      </c>
      <c r="E8" s="6">
        <v>628878</v>
      </c>
      <c r="F8" s="6">
        <v>3178.2873280000003</v>
      </c>
      <c r="G8" s="6">
        <v>3635.9676880000002</v>
      </c>
      <c r="H8" s="7">
        <f t="shared" si="0"/>
        <v>87.412419491226245</v>
      </c>
      <c r="I8" s="7">
        <v>10441.590600000005</v>
      </c>
      <c r="J8" s="7">
        <v>529.48500000000001</v>
      </c>
      <c r="K8" s="7">
        <v>10971.075600000006</v>
      </c>
      <c r="L8" s="7">
        <v>324.29722952399987</v>
      </c>
      <c r="M8" s="7">
        <v>57.970625595599991</v>
      </c>
      <c r="N8" s="7">
        <v>2.633</v>
      </c>
      <c r="O8" s="7">
        <v>384.90085511959984</v>
      </c>
      <c r="P8" s="7">
        <v>524.45703099999992</v>
      </c>
      <c r="Q8" s="7">
        <f t="shared" si="1"/>
        <v>73.390350852136805</v>
      </c>
    </row>
    <row r="9" spans="1:17" ht="30" customHeight="1" x14ac:dyDescent="0.25">
      <c r="A9" s="2">
        <v>43647</v>
      </c>
      <c r="B9" s="3">
        <v>3570</v>
      </c>
      <c r="C9" s="3">
        <v>20627.799999999988</v>
      </c>
      <c r="D9" s="3">
        <v>22005.206999999999</v>
      </c>
      <c r="E9" s="3">
        <v>598692</v>
      </c>
      <c r="F9" s="3">
        <v>3073.5937560000002</v>
      </c>
      <c r="G9" s="3">
        <v>3676.0712960000001</v>
      </c>
      <c r="H9" s="4">
        <f t="shared" si="0"/>
        <v>83.610830925516424</v>
      </c>
      <c r="I9" s="4">
        <v>11276.227800000004</v>
      </c>
      <c r="J9" s="4">
        <v>618.28700000000015</v>
      </c>
      <c r="K9" s="4">
        <v>11894.514800000004</v>
      </c>
      <c r="L9" s="4">
        <v>315.16531724399943</v>
      </c>
      <c r="M9" s="4">
        <v>61.163150191499966</v>
      </c>
      <c r="N9" s="4">
        <v>3.239284000000004</v>
      </c>
      <c r="O9" s="4">
        <v>379.56775143549942</v>
      </c>
      <c r="P9" s="4">
        <v>531.31632457200033</v>
      </c>
      <c r="Q9" s="4">
        <f t="shared" si="1"/>
        <v>71.439128421521531</v>
      </c>
    </row>
    <row r="10" spans="1:17" ht="30" customHeight="1" x14ac:dyDescent="0.25">
      <c r="A10" s="5">
        <v>43678</v>
      </c>
      <c r="B10" s="6">
        <v>3646</v>
      </c>
      <c r="C10" s="6">
        <v>20729</v>
      </c>
      <c r="D10" s="6">
        <v>21977.857</v>
      </c>
      <c r="E10" s="6">
        <v>622467</v>
      </c>
      <c r="F10" s="6">
        <v>3125.2998509999998</v>
      </c>
      <c r="G10" s="6">
        <v>3753.9646469999998</v>
      </c>
      <c r="H10" s="7">
        <f t="shared" si="0"/>
        <v>83.253310696401982</v>
      </c>
      <c r="I10" s="7">
        <v>9777.9922999999999</v>
      </c>
      <c r="J10" s="7">
        <v>525.678</v>
      </c>
      <c r="K10" s="7">
        <v>10303.6703</v>
      </c>
      <c r="L10" s="7">
        <v>317.91384925699998</v>
      </c>
      <c r="M10" s="7">
        <v>52.482428330799976</v>
      </c>
      <c r="N10" s="7">
        <v>2.971838</v>
      </c>
      <c r="O10" s="7">
        <v>373.36811558779993</v>
      </c>
      <c r="P10" s="7">
        <v>540.37665082000035</v>
      </c>
      <c r="Q10" s="7">
        <f t="shared" si="1"/>
        <v>69.094050422280176</v>
      </c>
    </row>
    <row r="11" spans="1:17" ht="30" customHeight="1" x14ac:dyDescent="0.25">
      <c r="A11" s="2">
        <v>43709</v>
      </c>
      <c r="B11" s="3">
        <v>3535</v>
      </c>
      <c r="C11" s="3">
        <v>20209.783333333322</v>
      </c>
      <c r="D11" s="3">
        <v>21114.621999999999</v>
      </c>
      <c r="E11" s="3">
        <v>556384</v>
      </c>
      <c r="F11" s="3">
        <v>2745.5107400000002</v>
      </c>
      <c r="G11" s="3">
        <v>3688.5839259999998</v>
      </c>
      <c r="H11" s="4">
        <f t="shared" si="0"/>
        <v>74.432649360300886</v>
      </c>
      <c r="I11" s="4">
        <v>9787.2104999999992</v>
      </c>
      <c r="J11" s="4">
        <v>657.08</v>
      </c>
      <c r="K11" s="4">
        <v>10444.290499999999</v>
      </c>
      <c r="L11" s="4">
        <v>276.7785056940001</v>
      </c>
      <c r="M11" s="4">
        <v>53.232040350700032</v>
      </c>
      <c r="N11" s="4">
        <v>3.5848299999999997</v>
      </c>
      <c r="O11" s="4">
        <v>333.59537604470017</v>
      </c>
      <c r="P11" s="4">
        <v>533.12803586799998</v>
      </c>
      <c r="Q11" s="4">
        <f t="shared" si="1"/>
        <v>62.573219489679367</v>
      </c>
    </row>
    <row r="12" spans="1:17" ht="30" customHeight="1" x14ac:dyDescent="0.25">
      <c r="A12" s="5">
        <v>43739</v>
      </c>
      <c r="B12" s="6">
        <v>3733</v>
      </c>
      <c r="C12" s="6">
        <v>21673.349999999991</v>
      </c>
      <c r="D12" s="6">
        <v>21830.796999999999</v>
      </c>
      <c r="E12" s="6">
        <v>587118</v>
      </c>
      <c r="F12" s="6">
        <v>2920.5201339999999</v>
      </c>
      <c r="G12" s="6">
        <v>3983.8353119999997</v>
      </c>
      <c r="H12" s="7">
        <f t="shared" si="0"/>
        <v>73.309258673492067</v>
      </c>
      <c r="I12" s="7">
        <v>10530.912900000001</v>
      </c>
      <c r="J12" s="7">
        <v>583.93399999999997</v>
      </c>
      <c r="K12" s="7">
        <v>11114.8469</v>
      </c>
      <c r="L12" s="7">
        <v>295.10134915700007</v>
      </c>
      <c r="M12" s="7">
        <v>59.294869637500035</v>
      </c>
      <c r="N12" s="7">
        <v>3.1086619999999998</v>
      </c>
      <c r="O12" s="7">
        <v>357.50488079450014</v>
      </c>
      <c r="P12" s="7">
        <v>572.72820960000081</v>
      </c>
      <c r="Q12" s="7">
        <f t="shared" si="1"/>
        <v>62.421385013353046</v>
      </c>
    </row>
    <row r="13" spans="1:17" ht="30" customHeight="1" x14ac:dyDescent="0.25">
      <c r="A13" s="2">
        <v>43770</v>
      </c>
      <c r="B13" s="3">
        <v>3762</v>
      </c>
      <c r="C13" s="3">
        <v>21881</v>
      </c>
      <c r="D13" s="3">
        <v>21666.84</v>
      </c>
      <c r="E13" s="3">
        <v>624138</v>
      </c>
      <c r="F13" s="3">
        <v>3090.9114530000002</v>
      </c>
      <c r="G13" s="3">
        <v>3938.2807979999998</v>
      </c>
      <c r="H13" s="4">
        <f t="shared" si="0"/>
        <v>78.483775320684998</v>
      </c>
      <c r="I13" s="4">
        <v>11444.099700000004</v>
      </c>
      <c r="J13" s="4">
        <v>614.55499999999927</v>
      </c>
      <c r="K13" s="4">
        <v>12058.654700000003</v>
      </c>
      <c r="L13" s="4">
        <v>313.83021394099984</v>
      </c>
      <c r="M13" s="4">
        <v>65.637603997700026</v>
      </c>
      <c r="N13" s="4">
        <v>3.4901250000000057</v>
      </c>
      <c r="O13" s="4">
        <v>382.95794293869983</v>
      </c>
      <c r="P13" s="4">
        <v>564.04095904799988</v>
      </c>
      <c r="Q13" s="4">
        <f t="shared" si="1"/>
        <v>67.895413763047316</v>
      </c>
    </row>
    <row r="14" spans="1:17" ht="30" customHeight="1" x14ac:dyDescent="0.25">
      <c r="A14" s="5">
        <v>43800</v>
      </c>
      <c r="B14" s="6">
        <v>3885</v>
      </c>
      <c r="C14" s="6">
        <v>22670.399999999998</v>
      </c>
      <c r="D14" s="6">
        <v>22430.362000000001</v>
      </c>
      <c r="E14" s="6">
        <v>680680</v>
      </c>
      <c r="F14" s="6">
        <v>3308.6304300000002</v>
      </c>
      <c r="G14" s="6">
        <v>4075.4174520000001</v>
      </c>
      <c r="H14" s="7">
        <f t="shared" si="0"/>
        <v>81.185068007604926</v>
      </c>
      <c r="I14" s="7">
        <v>12556.274000000001</v>
      </c>
      <c r="J14" s="7">
        <v>639.37599999999952</v>
      </c>
      <c r="K14" s="7">
        <v>13195.650000000001</v>
      </c>
      <c r="L14" s="7">
        <v>334.94056753700005</v>
      </c>
      <c r="M14" s="7">
        <v>72.526416960199967</v>
      </c>
      <c r="N14" s="7">
        <v>3.5756990000000002</v>
      </c>
      <c r="O14" s="7">
        <v>411.04268349720002</v>
      </c>
      <c r="P14" s="7">
        <v>584.29194234800048</v>
      </c>
      <c r="Q14" s="7">
        <f t="shared" si="1"/>
        <v>70.348853664729418</v>
      </c>
    </row>
    <row r="15" spans="1:17" ht="30" customHeight="1" x14ac:dyDescent="0.25">
      <c r="A15" s="2">
        <v>43831</v>
      </c>
      <c r="B15" s="3">
        <v>3862</v>
      </c>
      <c r="C15" s="3">
        <v>22678.316666666658</v>
      </c>
      <c r="D15" s="3">
        <v>22486.996999999999</v>
      </c>
      <c r="E15" s="3">
        <v>681323</v>
      </c>
      <c r="F15" s="3">
        <v>3448.481131</v>
      </c>
      <c r="G15" s="3">
        <v>4069.2033199999996</v>
      </c>
      <c r="H15" s="4">
        <f t="shared" si="0"/>
        <v>84.745854650487217</v>
      </c>
      <c r="I15" s="4">
        <v>11546.605800000001</v>
      </c>
      <c r="J15" s="4">
        <v>562.11800000000005</v>
      </c>
      <c r="K15" s="4">
        <v>12108.723800000002</v>
      </c>
      <c r="L15" s="4">
        <v>350.31281427300024</v>
      </c>
      <c r="M15" s="4">
        <v>64.971719378099948</v>
      </c>
      <c r="N15" s="4">
        <v>3.1898630000000057</v>
      </c>
      <c r="O15" s="4">
        <v>418.47439665110016</v>
      </c>
      <c r="P15" s="4">
        <v>583.47222926800089</v>
      </c>
      <c r="Q15" s="4">
        <f t="shared" si="1"/>
        <v>71.721390609472564</v>
      </c>
    </row>
    <row r="16" spans="1:17" ht="30" customHeight="1" x14ac:dyDescent="0.25">
      <c r="A16" s="5">
        <v>43862</v>
      </c>
      <c r="B16" s="6">
        <v>3546</v>
      </c>
      <c r="C16" s="6">
        <v>20704.366666666654</v>
      </c>
      <c r="D16" s="6">
        <v>20388.311000000002</v>
      </c>
      <c r="E16" s="6">
        <v>591237</v>
      </c>
      <c r="F16" s="6">
        <v>3018.390273</v>
      </c>
      <c r="G16" s="6">
        <v>3744.3029200000001</v>
      </c>
      <c r="H16" s="7">
        <f t="shared" si="0"/>
        <v>80.612876081083741</v>
      </c>
      <c r="I16" s="7">
        <v>11022.570900000001</v>
      </c>
      <c r="J16" s="7">
        <v>345.76</v>
      </c>
      <c r="K16" s="7">
        <v>11368.330900000001</v>
      </c>
      <c r="L16" s="7">
        <v>306.72082310300021</v>
      </c>
      <c r="M16" s="7">
        <v>64.334981042199971</v>
      </c>
      <c r="N16" s="7">
        <v>2.2845430000000002</v>
      </c>
      <c r="O16" s="7">
        <v>373.34034714520016</v>
      </c>
      <c r="P16" s="7">
        <v>536.22454213600008</v>
      </c>
      <c r="Q16" s="7">
        <f t="shared" si="1"/>
        <v>69.623882871536239</v>
      </c>
    </row>
    <row r="17" spans="1:17" ht="30" customHeight="1" x14ac:dyDescent="0.25">
      <c r="A17" s="2">
        <v>43891</v>
      </c>
      <c r="B17" s="3">
        <v>2029</v>
      </c>
      <c r="C17" s="3">
        <v>12063.183333333331</v>
      </c>
      <c r="D17" s="3">
        <v>12378.201999999999</v>
      </c>
      <c r="E17" s="3">
        <v>293819</v>
      </c>
      <c r="F17" s="3">
        <v>1646.3553559999998</v>
      </c>
      <c r="G17" s="3">
        <v>2269.8891880000001</v>
      </c>
      <c r="H17" s="4">
        <f t="shared" si="0"/>
        <v>72.530208289621569</v>
      </c>
      <c r="I17" s="4">
        <v>7271.9105000000009</v>
      </c>
      <c r="J17" s="4">
        <v>223.8</v>
      </c>
      <c r="K17" s="4">
        <v>7495.710500000001</v>
      </c>
      <c r="L17" s="4">
        <v>170.67010574700015</v>
      </c>
      <c r="M17" s="4">
        <v>42.788945662800025</v>
      </c>
      <c r="N17" s="4">
        <v>1.5376669999999999</v>
      </c>
      <c r="O17" s="4">
        <v>214.99671840980014</v>
      </c>
      <c r="P17" s="4">
        <v>331.69977904799998</v>
      </c>
      <c r="Q17" s="4">
        <f t="shared" si="1"/>
        <v>64.816660121648184</v>
      </c>
    </row>
    <row r="18" spans="1:17" ht="30" customHeight="1" x14ac:dyDescent="0.25">
      <c r="A18" s="8" t="s">
        <v>23</v>
      </c>
      <c r="B18" s="9">
        <f>SUM(B6:B17)</f>
        <v>41821</v>
      </c>
      <c r="C18" s="9">
        <f t="shared" ref="C18:P18" si="2">SUM(C6:C17)</f>
        <v>245421.01666666658</v>
      </c>
      <c r="D18" s="9">
        <f t="shared" si="2"/>
        <v>252408.75699999998</v>
      </c>
      <c r="E18" s="9">
        <f t="shared" si="2"/>
        <v>7061529</v>
      </c>
      <c r="F18" s="9">
        <f t="shared" si="2"/>
        <v>35436.686162999998</v>
      </c>
      <c r="G18" s="9">
        <f t="shared" si="2"/>
        <v>44106.834387000003</v>
      </c>
      <c r="H18" s="10">
        <f t="shared" si="0"/>
        <v>80.342846308291314</v>
      </c>
      <c r="I18" s="10">
        <f t="shared" si="2"/>
        <v>130412.41660000003</v>
      </c>
      <c r="J18" s="10">
        <f t="shared" si="2"/>
        <v>6161.6389999999992</v>
      </c>
      <c r="K18" s="10">
        <f t="shared" si="2"/>
        <v>136574.05560000002</v>
      </c>
      <c r="L18" s="10">
        <f t="shared" si="2"/>
        <v>3593.0507414399999</v>
      </c>
      <c r="M18" s="10">
        <f t="shared" si="2"/>
        <v>735.78242448939989</v>
      </c>
      <c r="N18" s="10">
        <f t="shared" si="2"/>
        <v>33.876048000000011</v>
      </c>
      <c r="O18" s="10">
        <f t="shared" si="2"/>
        <v>4362.7092139293991</v>
      </c>
      <c r="P18" s="10">
        <f t="shared" si="2"/>
        <v>6351.8741288840038</v>
      </c>
      <c r="Q18" s="10">
        <f t="shared" si="1"/>
        <v>68.683810878599829</v>
      </c>
    </row>
    <row r="19" spans="1:17" ht="15" customHeight="1" x14ac:dyDescent="0.25">
      <c r="A19" s="14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2020-05-06T11:44:19Z</cp:lastPrinted>
  <dcterms:created xsi:type="dcterms:W3CDTF">2018-10-29T04:00:09Z</dcterms:created>
  <dcterms:modified xsi:type="dcterms:W3CDTF">2021-09-14T20:46:14Z</dcterms:modified>
</cp:coreProperties>
</file>