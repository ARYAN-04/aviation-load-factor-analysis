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Annual reports upload 2022-23\Annual tables pdf and excel 22_23\2023_24\ALLIANCE AIR (NATIONAL)\"/>
    </mc:Choice>
  </mc:AlternateContent>
  <bookViews>
    <workbookView xWindow="0" yWindow="0" windowWidth="24000" windowHeight="9435"/>
  </bookViews>
  <sheets>
    <sheet name="ALLIANCE AI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3" i="1" l="1"/>
  <c r="Q12" i="1"/>
  <c r="Q11" i="1"/>
  <c r="Q10" i="1"/>
  <c r="Q9" i="1"/>
  <c r="Q8" i="1"/>
  <c r="Q7" i="1"/>
  <c r="Q6" i="1"/>
  <c r="H13" i="1"/>
  <c r="H12" i="1"/>
  <c r="H11" i="1"/>
  <c r="H10" i="1"/>
  <c r="H9" i="1"/>
  <c r="H8" i="1"/>
  <c r="H7" i="1"/>
  <c r="H6" i="1"/>
  <c r="P18" i="1" l="1"/>
  <c r="O18" i="1"/>
  <c r="Q18" i="1" s="1"/>
  <c r="N18" i="1"/>
  <c r="M18" i="1"/>
  <c r="L18" i="1"/>
  <c r="K18" i="1"/>
  <c r="J18" i="1"/>
  <c r="I18" i="1"/>
  <c r="G18" i="1"/>
  <c r="F18" i="1"/>
  <c r="H18" i="1" s="1"/>
  <c r="E18" i="1"/>
  <c r="D18" i="1"/>
  <c r="C18" i="1"/>
  <c r="B18" i="1"/>
  <c r="Q17" i="1"/>
  <c r="Q16" i="1"/>
  <c r="Q15" i="1"/>
  <c r="Q14" i="1"/>
  <c r="H17" i="1"/>
  <c r="H16" i="1"/>
  <c r="H15" i="1"/>
  <c r="H14" i="1"/>
</calcChain>
</file>

<file path=xl/sharedStrings.xml><?xml version="1.0" encoding="utf-8"?>
<sst xmlns="http://schemas.openxmlformats.org/spreadsheetml/2006/main" count="26" uniqueCount="24">
  <si>
    <t xml:space="preserve">तालिका - 1.02 (एलाइंस एयर) </t>
  </si>
  <si>
    <t>Table 1.02 (ALLIANCE AIR)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</si>
  <si>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</si>
  <si>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</si>
  <si>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</si>
  <si>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</si>
  <si>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</si>
  <si>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</si>
  <si>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</si>
  <si>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</si>
  <si>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</si>
  <si>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</si>
  <si>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</si>
  <si>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</si>
  <si>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</si>
  <si>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</si>
  <si>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</si>
  <si>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</si>
  <si>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</si>
  <si>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</si>
  <si>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</si>
  <si>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ALLIANCE AIR</t>
  </si>
  <si>
    <t>2023-24</t>
  </si>
  <si>
    <t>MONTHLY TRAFFIC AND OPERATING STATISTICS OF ALLIANCE AIR ON SCHEDULED INTERNATIONAL SERVICES DURING 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</si>
</sst>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.0_);_(* \(#,##0.0\);_(* &quot;-&quot;??_);_(@_)"/>
    <numFmt numFmtId="166" formatCode="_(* #,##0_);_(* \(#,##0\);_(* &quot;-&quot;??_);_(@_)"/>
    <numFmt numFmtId="168" formatCode="[$-409]mmm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3">
    <xf numFmtId="0" fontId="0" fillId="0" borderId="0" xfId="0"/>
    <xf numFmtId="164" fontId="1" fillId="3" borderId="1" xfId="3" applyNumberFormat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164" fontId="2" fillId="3" borderId="1" xfId="3" applyNumberFormat="1" applyFont="1" applyBorder="1" applyAlignment="1">
      <alignment horizontal="center" vertical="center"/>
    </xf>
    <xf numFmtId="166" fontId="1" fillId="3" borderId="1" xfId="3" applyNumberFormat="1" applyBorder="1" applyAlignment="1">
      <alignment horizontal="center" vertical="center"/>
    </xf>
    <xf numFmtId="166" fontId="5" fillId="0" borderId="1" xfId="1" applyNumberFormat="1" applyFont="1" applyFill="1" applyBorder="1" applyAlignment="1">
      <alignment horizontal="center" vertical="center"/>
    </xf>
    <xf numFmtId="166" fontId="2" fillId="3" borderId="1" xfId="3" applyNumberFormat="1" applyFont="1" applyBorder="1" applyAlignment="1">
      <alignment horizontal="center" vertical="center"/>
    </xf>
    <xf numFmtId="43" fontId="1" fillId="3" borderId="1" xfId="3" applyNumberFormat="1" applyBorder="1" applyAlignment="1">
      <alignment horizontal="center" vertical="center"/>
    </xf>
    <xf numFmtId="43" fontId="5" fillId="0" borderId="1" xfId="1" applyNumberFormat="1" applyFont="1" applyFill="1" applyBorder="1" applyAlignment="1">
      <alignment horizontal="center" vertical="center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6" fillId="4" borderId="2" xfId="0" applyFont="1" applyFill="1" applyBorder="1" applyAlignment="1" applyProtection="1">
      <alignment horizontal="left" vertical="center" wrapText="1"/>
    </xf>
    <xf numFmtId="0" fontId="6" fillId="4" borderId="3" xfId="0" applyFont="1" applyFill="1" applyBorder="1" applyAlignment="1" applyProtection="1">
      <alignment horizontal="left" vertical="center" wrapText="1"/>
    </xf>
    <xf numFmtId="0" fontId="6" fillId="4" borderId="4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  <xf numFmtId="168" fontId="1" fillId="3" borderId="1" xfId="3" applyNumberFormat="1" applyBorder="1" applyAlignment="1" applyProtection="1">
      <alignment horizontal="center" vertical="center" wrapText="1"/>
    </xf>
    <xf numFmtId="168" fontId="1" fillId="5" borderId="1" xfId="3" applyNumberFormat="1" applyFill="1" applyBorder="1" applyAlignment="1" applyProtection="1">
      <alignment horizontal="center" vertical="center" wrapText="1"/>
    </xf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topLeftCell="A3" zoomScaleNormal="96" zoomScaleSheetLayoutView="100" workbookViewId="0">
      <selection activeCell="F15" sqref="F15"/>
    </sheetView>
  </sheetViews>
  <sheetFormatPr defaultRowHeight="15" x14ac:dyDescent="0.25"/>
  <cols>
    <col min="1" max="1" width="13.85546875" customWidth="1"/>
    <col min="2" max="4" width="7.42578125" customWidth="1"/>
    <col min="5" max="5" width="9.5703125" customWidth="1"/>
    <col min="6" max="17" width="7.42578125" customWidth="1"/>
  </cols>
  <sheetData>
    <row r="1" spans="1:17" ht="19.149999999999999" customHeight="1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19.149999999999999" customHeight="1" x14ac:dyDescent="0.25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ht="19.149999999999999" customHeight="1" x14ac:dyDescent="0.25">
      <c r="A3" s="19" t="s">
        <v>23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17" ht="38.450000000000003" customHeight="1" x14ac:dyDescent="0.25">
      <c r="A4" s="19" t="s">
        <v>2</v>
      </c>
      <c r="B4" s="19" t="s">
        <v>3</v>
      </c>
      <c r="C4" s="19"/>
      <c r="D4" s="19"/>
      <c r="E4" s="19" t="s">
        <v>4</v>
      </c>
      <c r="F4" s="20"/>
      <c r="G4" s="11" t="s">
        <v>5</v>
      </c>
      <c r="H4" s="11" t="s">
        <v>6</v>
      </c>
      <c r="I4" s="19" t="s">
        <v>7</v>
      </c>
      <c r="J4" s="19"/>
      <c r="K4" s="19"/>
      <c r="L4" s="19" t="s">
        <v>8</v>
      </c>
      <c r="M4" s="19"/>
      <c r="N4" s="19"/>
      <c r="O4" s="19"/>
      <c r="P4" s="11" t="s">
        <v>9</v>
      </c>
      <c r="Q4" s="11" t="s">
        <v>10</v>
      </c>
    </row>
    <row r="5" spans="1:17" ht="97.9" customHeight="1" x14ac:dyDescent="0.25">
      <c r="A5" s="19"/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12"/>
      <c r="H5" s="12"/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17</v>
      </c>
      <c r="O5" s="4" t="s">
        <v>18</v>
      </c>
      <c r="P5" s="12"/>
      <c r="Q5" s="12"/>
    </row>
    <row r="6" spans="1:17" ht="19.149999999999999" customHeight="1" x14ac:dyDescent="0.25">
      <c r="A6" s="21">
        <v>45017</v>
      </c>
      <c r="B6" s="1">
        <v>32</v>
      </c>
      <c r="C6" s="1">
        <v>42</v>
      </c>
      <c r="D6" s="1">
        <v>11.327999999999999</v>
      </c>
      <c r="E6" s="6">
        <v>1805</v>
      </c>
      <c r="F6" s="1">
        <v>0.63897000000000004</v>
      </c>
      <c r="G6" s="1">
        <v>0.71366399999999997</v>
      </c>
      <c r="H6" s="1">
        <f t="shared" ref="H6:H13" si="0">F6/G6*100</f>
        <v>89.533730158730179</v>
      </c>
      <c r="I6" s="1">
        <v>0</v>
      </c>
      <c r="J6" s="1">
        <v>0</v>
      </c>
      <c r="K6" s="1">
        <v>0</v>
      </c>
      <c r="L6" s="9">
        <v>6.1341099999999996E-2</v>
      </c>
      <c r="M6" s="9">
        <v>0</v>
      </c>
      <c r="N6" s="9">
        <v>0</v>
      </c>
      <c r="O6" s="9">
        <v>6.1341099999999996E-2</v>
      </c>
      <c r="P6" s="9">
        <v>7.7030399999999999E-2</v>
      </c>
      <c r="Q6" s="1">
        <f t="shared" ref="Q6:Q13" si="1">O6/P6*100</f>
        <v>79.632326977401121</v>
      </c>
    </row>
    <row r="7" spans="1:17" ht="19.149999999999999" customHeight="1" x14ac:dyDescent="0.25">
      <c r="A7" s="22">
        <v>45047</v>
      </c>
      <c r="B7" s="2">
        <v>36</v>
      </c>
      <c r="C7" s="2">
        <v>45</v>
      </c>
      <c r="D7" s="2">
        <v>12.744</v>
      </c>
      <c r="E7" s="7">
        <v>1987</v>
      </c>
      <c r="F7" s="2">
        <v>0.70339800000000008</v>
      </c>
      <c r="G7" s="2">
        <v>0.8920800000000001</v>
      </c>
      <c r="H7" s="2">
        <f t="shared" si="0"/>
        <v>78.849206349206341</v>
      </c>
      <c r="I7" s="2">
        <v>0</v>
      </c>
      <c r="J7" s="2">
        <v>0</v>
      </c>
      <c r="K7" s="2">
        <v>0</v>
      </c>
      <c r="L7" s="10">
        <v>6.752620799999999E-2</v>
      </c>
      <c r="M7" s="10">
        <v>0</v>
      </c>
      <c r="N7" s="10">
        <v>0</v>
      </c>
      <c r="O7" s="10">
        <v>6.752620799999999E-2</v>
      </c>
      <c r="P7" s="10">
        <v>8.6659199999999992E-2</v>
      </c>
      <c r="Q7" s="2">
        <f t="shared" si="1"/>
        <v>77.921568627450981</v>
      </c>
    </row>
    <row r="8" spans="1:17" ht="19.149999999999999" customHeight="1" x14ac:dyDescent="0.25">
      <c r="A8" s="21">
        <v>45078</v>
      </c>
      <c r="B8" s="1">
        <v>34</v>
      </c>
      <c r="C8" s="1">
        <v>40</v>
      </c>
      <c r="D8" s="1">
        <v>12.036</v>
      </c>
      <c r="E8" s="6">
        <v>1994</v>
      </c>
      <c r="F8" s="1">
        <v>0.70587599999999995</v>
      </c>
      <c r="G8" s="1">
        <v>0.84251999999999994</v>
      </c>
      <c r="H8" s="1">
        <f t="shared" si="0"/>
        <v>83.781512605042025</v>
      </c>
      <c r="I8" s="1">
        <v>0</v>
      </c>
      <c r="J8" s="1">
        <v>0</v>
      </c>
      <c r="K8" s="1">
        <v>0</v>
      </c>
      <c r="L8" s="9">
        <v>6.7764095999999996E-2</v>
      </c>
      <c r="M8" s="9">
        <v>0</v>
      </c>
      <c r="N8" s="9">
        <v>0</v>
      </c>
      <c r="O8" s="9">
        <v>6.7764095999999996E-2</v>
      </c>
      <c r="P8" s="9">
        <v>8.1844799999999995E-2</v>
      </c>
      <c r="Q8" s="1">
        <f t="shared" si="1"/>
        <v>82.79584775086505</v>
      </c>
    </row>
    <row r="9" spans="1:17" ht="19.149999999999999" customHeight="1" x14ac:dyDescent="0.25">
      <c r="A9" s="22">
        <v>45108</v>
      </c>
      <c r="B9" s="2">
        <v>48</v>
      </c>
      <c r="C9" s="2">
        <v>58</v>
      </c>
      <c r="D9" s="2">
        <v>16.992000000000001</v>
      </c>
      <c r="E9" s="7">
        <v>2713</v>
      </c>
      <c r="F9" s="2">
        <v>0.96040200000000009</v>
      </c>
      <c r="G9" s="2">
        <v>1.1894400000000001</v>
      </c>
      <c r="H9" s="2">
        <f t="shared" si="0"/>
        <v>80.74404761904762</v>
      </c>
      <c r="I9" s="2">
        <v>0</v>
      </c>
      <c r="J9" s="2">
        <v>0</v>
      </c>
      <c r="K9" s="2">
        <v>0</v>
      </c>
      <c r="L9" s="10">
        <v>9.219859200000001E-2</v>
      </c>
      <c r="M9" s="10">
        <v>0</v>
      </c>
      <c r="N9" s="10">
        <v>0</v>
      </c>
      <c r="O9" s="10">
        <v>9.219859200000001E-2</v>
      </c>
      <c r="P9" s="10">
        <v>0.1155456</v>
      </c>
      <c r="Q9" s="2">
        <f t="shared" si="1"/>
        <v>79.79411764705884</v>
      </c>
    </row>
    <row r="10" spans="1:17" ht="19.149999999999999" customHeight="1" x14ac:dyDescent="0.25">
      <c r="A10" s="21">
        <v>45139</v>
      </c>
      <c r="B10" s="1">
        <v>62</v>
      </c>
      <c r="C10" s="1">
        <v>76</v>
      </c>
      <c r="D10" s="1">
        <v>21.948</v>
      </c>
      <c r="E10" s="6">
        <v>3563</v>
      </c>
      <c r="F10" s="1">
        <v>1.2613019999999999</v>
      </c>
      <c r="G10" s="1">
        <v>1.5363599999999999</v>
      </c>
      <c r="H10" s="1">
        <f t="shared" si="0"/>
        <v>82.096774193548384</v>
      </c>
      <c r="I10" s="1">
        <v>0</v>
      </c>
      <c r="J10" s="1">
        <v>0</v>
      </c>
      <c r="K10" s="1">
        <v>0</v>
      </c>
      <c r="L10" s="9">
        <v>0.121084992</v>
      </c>
      <c r="M10" s="9">
        <v>0</v>
      </c>
      <c r="N10" s="9">
        <v>0</v>
      </c>
      <c r="O10" s="9">
        <v>0.121084992</v>
      </c>
      <c r="P10" s="9">
        <v>0.1492464</v>
      </c>
      <c r="Q10" s="1">
        <f t="shared" si="1"/>
        <v>81.130929791271342</v>
      </c>
    </row>
    <row r="11" spans="1:17" ht="19.149999999999999" customHeight="1" x14ac:dyDescent="0.25">
      <c r="A11" s="22">
        <v>45170</v>
      </c>
      <c r="B11" s="2">
        <v>60</v>
      </c>
      <c r="C11" s="2">
        <v>74</v>
      </c>
      <c r="D11" s="2">
        <v>21.24</v>
      </c>
      <c r="E11" s="7">
        <v>3135</v>
      </c>
      <c r="F11" s="2">
        <v>1.1097900000000001</v>
      </c>
      <c r="G11" s="2">
        <v>1.4867999999999999</v>
      </c>
      <c r="H11" s="2">
        <f t="shared" si="0"/>
        <v>74.642857142857153</v>
      </c>
      <c r="I11" s="2">
        <v>0</v>
      </c>
      <c r="J11" s="2">
        <v>0</v>
      </c>
      <c r="K11" s="2">
        <v>0</v>
      </c>
      <c r="L11" s="10">
        <v>0.10653984</v>
      </c>
      <c r="M11" s="10">
        <v>0</v>
      </c>
      <c r="N11" s="10">
        <v>0</v>
      </c>
      <c r="O11" s="10">
        <v>0.10653984</v>
      </c>
      <c r="P11" s="10">
        <v>0.14443199999999998</v>
      </c>
      <c r="Q11" s="2">
        <f t="shared" si="1"/>
        <v>73.764705882352956</v>
      </c>
    </row>
    <row r="12" spans="1:17" ht="19.149999999999999" customHeight="1" x14ac:dyDescent="0.25">
      <c r="A12" s="21">
        <v>45200</v>
      </c>
      <c r="B12" s="1">
        <v>62</v>
      </c>
      <c r="C12" s="1">
        <v>74</v>
      </c>
      <c r="D12" s="1">
        <v>21.948</v>
      </c>
      <c r="E12" s="6">
        <v>2858</v>
      </c>
      <c r="F12" s="1">
        <v>1.0117320000000001</v>
      </c>
      <c r="G12" s="1">
        <v>1.5363599999999999</v>
      </c>
      <c r="H12" s="1">
        <f t="shared" si="0"/>
        <v>65.852534562211986</v>
      </c>
      <c r="I12" s="1">
        <v>0</v>
      </c>
      <c r="J12" s="1">
        <v>0</v>
      </c>
      <c r="K12" s="1">
        <v>0</v>
      </c>
      <c r="L12" s="9">
        <v>9.7126272E-2</v>
      </c>
      <c r="M12" s="9">
        <v>0</v>
      </c>
      <c r="N12" s="9">
        <v>0</v>
      </c>
      <c r="O12" s="9">
        <v>9.7126272E-2</v>
      </c>
      <c r="P12" s="9">
        <v>0.1492464</v>
      </c>
      <c r="Q12" s="1">
        <f t="shared" si="1"/>
        <v>65.077798861480076</v>
      </c>
    </row>
    <row r="13" spans="1:17" ht="19.149999999999999" customHeight="1" x14ac:dyDescent="0.25">
      <c r="A13" s="22">
        <v>45231</v>
      </c>
      <c r="B13" s="2">
        <v>54</v>
      </c>
      <c r="C13" s="2">
        <v>65</v>
      </c>
      <c r="D13" s="2">
        <v>19.116</v>
      </c>
      <c r="E13" s="7">
        <v>2077</v>
      </c>
      <c r="F13" s="2">
        <v>0.73525800000000008</v>
      </c>
      <c r="G13" s="2">
        <v>1.33812</v>
      </c>
      <c r="H13" s="2">
        <f t="shared" si="0"/>
        <v>54.947089947089957</v>
      </c>
      <c r="I13" s="2">
        <v>0</v>
      </c>
      <c r="J13" s="2">
        <v>0</v>
      </c>
      <c r="K13" s="2">
        <v>0</v>
      </c>
      <c r="L13" s="10">
        <v>7.0584767999999992E-2</v>
      </c>
      <c r="M13" s="10">
        <v>0</v>
      </c>
      <c r="N13" s="10">
        <v>0</v>
      </c>
      <c r="O13" s="10">
        <v>7.0584767999999992E-2</v>
      </c>
      <c r="P13" s="10">
        <v>0.12998879999999999</v>
      </c>
      <c r="Q13" s="2">
        <f t="shared" si="1"/>
        <v>54.300653594771241</v>
      </c>
    </row>
    <row r="14" spans="1:17" ht="19.149999999999999" customHeight="1" x14ac:dyDescent="0.25">
      <c r="A14" s="21">
        <v>45261</v>
      </c>
      <c r="B14" s="1">
        <v>52</v>
      </c>
      <c r="C14" s="1">
        <v>64</v>
      </c>
      <c r="D14" s="1">
        <v>18.408000000000001</v>
      </c>
      <c r="E14" s="6">
        <v>2571</v>
      </c>
      <c r="F14" s="1">
        <v>0.910134</v>
      </c>
      <c r="G14" s="1">
        <v>1.2885599999999999</v>
      </c>
      <c r="H14" s="1">
        <f t="shared" ref="H14:H17" si="2">F14/G14*100</f>
        <v>70.631868131868131</v>
      </c>
      <c r="I14" s="1">
        <v>0</v>
      </c>
      <c r="J14" s="1">
        <v>0</v>
      </c>
      <c r="K14" s="1">
        <v>0</v>
      </c>
      <c r="L14" s="9">
        <v>8.7372900000000003E-2</v>
      </c>
      <c r="M14" s="9">
        <v>0</v>
      </c>
      <c r="N14" s="9">
        <v>0</v>
      </c>
      <c r="O14" s="9">
        <v>8.7372900000000003E-2</v>
      </c>
      <c r="P14" s="9">
        <v>0.12517439999999999</v>
      </c>
      <c r="Q14" s="1">
        <f t="shared" ref="Q14:Q18" si="3">O14/P14*100</f>
        <v>69.800933737249792</v>
      </c>
    </row>
    <row r="15" spans="1:17" ht="19.149999999999999" customHeight="1" x14ac:dyDescent="0.25">
      <c r="A15" s="22">
        <v>45292</v>
      </c>
      <c r="B15" s="2">
        <v>62</v>
      </c>
      <c r="C15" s="2">
        <v>76</v>
      </c>
      <c r="D15" s="2">
        <v>21.948</v>
      </c>
      <c r="E15" s="7">
        <v>3380</v>
      </c>
      <c r="F15" s="2">
        <v>1.19652</v>
      </c>
      <c r="G15" s="2">
        <v>1.3827239999999998</v>
      </c>
      <c r="H15" s="2">
        <f t="shared" si="2"/>
        <v>86.533538146441373</v>
      </c>
      <c r="I15" s="2">
        <v>0</v>
      </c>
      <c r="J15" s="2">
        <v>0</v>
      </c>
      <c r="K15" s="2">
        <v>0</v>
      </c>
      <c r="L15" s="10">
        <v>0.11486592</v>
      </c>
      <c r="M15" s="10">
        <v>0</v>
      </c>
      <c r="N15" s="10">
        <v>0</v>
      </c>
      <c r="O15" s="10">
        <v>0.11486592</v>
      </c>
      <c r="P15" s="10">
        <v>0.1492464</v>
      </c>
      <c r="Q15" s="2">
        <f t="shared" si="3"/>
        <v>76.963946869070213</v>
      </c>
    </row>
    <row r="16" spans="1:17" ht="19.149999999999999" customHeight="1" x14ac:dyDescent="0.25">
      <c r="A16" s="21">
        <v>45323</v>
      </c>
      <c r="B16" s="1">
        <v>58</v>
      </c>
      <c r="C16" s="1">
        <v>72</v>
      </c>
      <c r="D16" s="1">
        <v>20.532</v>
      </c>
      <c r="E16" s="6">
        <v>2879</v>
      </c>
      <c r="F16" s="1">
        <v>1.019166</v>
      </c>
      <c r="G16" s="1">
        <v>1.2935160000000001</v>
      </c>
      <c r="H16" s="1">
        <f t="shared" si="2"/>
        <v>78.790366721401199</v>
      </c>
      <c r="I16" s="1">
        <v>0</v>
      </c>
      <c r="J16" s="1">
        <v>0</v>
      </c>
      <c r="K16" s="1">
        <v>0</v>
      </c>
      <c r="L16" s="9">
        <v>9.7839899999999994E-2</v>
      </c>
      <c r="M16" s="9">
        <v>0</v>
      </c>
      <c r="N16" s="9">
        <v>0</v>
      </c>
      <c r="O16" s="9">
        <v>9.7839899999999994E-2</v>
      </c>
      <c r="P16" s="9">
        <v>0.13961760000000001</v>
      </c>
      <c r="Q16" s="1">
        <f t="shared" si="3"/>
        <v>70.077053322790235</v>
      </c>
    </row>
    <row r="17" spans="1:17" ht="19.149999999999999" customHeight="1" x14ac:dyDescent="0.25">
      <c r="A17" s="22">
        <v>45352</v>
      </c>
      <c r="B17" s="2">
        <v>62</v>
      </c>
      <c r="C17" s="2">
        <v>79</v>
      </c>
      <c r="D17" s="2">
        <v>21.948</v>
      </c>
      <c r="E17" s="7">
        <v>3331</v>
      </c>
      <c r="F17" s="2">
        <v>1.1791739999999999</v>
      </c>
      <c r="G17" s="2">
        <v>1.360776</v>
      </c>
      <c r="H17" s="2">
        <f t="shared" si="2"/>
        <v>86.654526534859528</v>
      </c>
      <c r="I17" s="2">
        <v>0</v>
      </c>
      <c r="J17" s="2">
        <v>0</v>
      </c>
      <c r="K17" s="2">
        <v>0</v>
      </c>
      <c r="L17" s="10">
        <v>0.1132007</v>
      </c>
      <c r="M17" s="10">
        <v>0</v>
      </c>
      <c r="N17" s="10">
        <v>0</v>
      </c>
      <c r="O17" s="10">
        <v>0.1132007</v>
      </c>
      <c r="P17" s="10">
        <v>0.1492464</v>
      </c>
      <c r="Q17" s="2">
        <f t="shared" si="3"/>
        <v>75.848194663321863</v>
      </c>
    </row>
    <row r="18" spans="1:17" ht="19.149999999999999" customHeight="1" x14ac:dyDescent="0.25">
      <c r="A18" s="3" t="s">
        <v>22</v>
      </c>
      <c r="B18" s="5">
        <f>SUM(B6:B17)</f>
        <v>622</v>
      </c>
      <c r="C18" s="5">
        <f t="shared" ref="C18:G18" si="4">SUM(C6:C17)</f>
        <v>765</v>
      </c>
      <c r="D18" s="5">
        <f t="shared" si="4"/>
        <v>220.18800000000002</v>
      </c>
      <c r="E18" s="8">
        <f t="shared" si="4"/>
        <v>32293</v>
      </c>
      <c r="F18" s="5">
        <f t="shared" si="4"/>
        <v>11.431722000000001</v>
      </c>
      <c r="G18" s="5">
        <f t="shared" si="4"/>
        <v>14.86092</v>
      </c>
      <c r="H18" s="5">
        <f>F18/G18*100</f>
        <v>76.92472606002859</v>
      </c>
      <c r="I18" s="5">
        <f t="shared" ref="I18" si="5">SUM(I6:I17)</f>
        <v>0</v>
      </c>
      <c r="J18" s="5">
        <f t="shared" ref="J18:P18" si="6">SUM(J6:J17)</f>
        <v>0</v>
      </c>
      <c r="K18" s="5">
        <f t="shared" si="6"/>
        <v>0</v>
      </c>
      <c r="L18" s="5">
        <f t="shared" si="6"/>
        <v>1.0974452879999999</v>
      </c>
      <c r="M18" s="5">
        <f t="shared" si="6"/>
        <v>0</v>
      </c>
      <c r="N18" s="5">
        <f t="shared" si="6"/>
        <v>0</v>
      </c>
      <c r="O18" s="5">
        <f t="shared" si="6"/>
        <v>1.0974452879999999</v>
      </c>
      <c r="P18" s="5">
        <f t="shared" si="6"/>
        <v>1.4972783999999999</v>
      </c>
      <c r="Q18" s="5">
        <f t="shared" si="3"/>
        <v>73.296007475964387</v>
      </c>
    </row>
    <row r="19" spans="1:17" ht="19.149999999999999" customHeight="1" x14ac:dyDescent="0.25">
      <c r="A19" s="13" t="s">
        <v>21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5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ALLIANCE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cp:lastPrinted>2022-04-25T11:51:31Z</cp:lastPrinted>
  <dcterms:created xsi:type="dcterms:W3CDTF">2020-05-22T09:06:28Z</dcterms:created>
  <dcterms:modified xsi:type="dcterms:W3CDTF">2024-11-19T07:21:29Z</dcterms:modified>
</cp:coreProperties>
</file>