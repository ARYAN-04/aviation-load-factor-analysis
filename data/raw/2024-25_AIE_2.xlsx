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 EXPRESS\"/>
    </mc:Choice>
  </mc:AlternateContent>
  <bookViews>
    <workbookView xWindow="0" yWindow="0" windowWidth="24000" windowHeight="10725"/>
  </bookViews>
  <sheets>
    <sheet name="AIR INDIA EXPRESS" sheetId="1" r:id="rId1"/>
  </sheets>
  <definedNames>
    <definedName name="_xlnm.Print_Area" localSheetId="0">'AIR INDIA EXPRESS'!$A$1:$Q$19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P18" i="1"/>
  <c r="O18" i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<sst xmlns="http://schemas.openxmlformats.org/spreadsheetml/2006/main" count="26" uniqueCount="24">
  <si>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</si>
  <si>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</si>
  <si>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</si>
  <si>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</si>
  <si>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</si>
  <si>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</si>
  <si>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</si>
  <si>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</si>
  <si>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</si>
  <si>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</si>
  <si>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</si>
  <si>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</si>
  <si>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</si>
  <si>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</si>
  <si>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</si>
  <si>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</si>
  <si>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</si>
  <si>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</si>
  <si>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</si>
  <si>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 EXPRESS</t>
  </si>
  <si>
    <t>Table 1.02  AIR INDIA EXPRESS</t>
  </si>
  <si>
    <t>MONTHLY TRAFFIC AND OPERATING STATISTICS OF AIR INDIA EXPRESS ON SCHEDULED INTERNATIONAL SERVICES DURING 2024-25</t>
  </si>
  <si>
    <t>2024-25</t>
  </si>
  <si>
    <t xml:space="preserve">तालिका - 1.02 एयर इंडिया एक्सप्रेस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</si>
</sst>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5" fontId="1" fillId="3" borderId="1" xfId="3" applyNumberFormat="1" applyBorder="1" applyAlignment="1">
      <alignment horizontal="right" vertical="center"/>
    </xf>
    <xf numFmtId="166" fontId="1" fillId="3" borderId="1" xfId="3" applyNumberFormat="1" applyBorder="1" applyAlignment="1">
      <alignment horizontal="right" vertical="center"/>
    </xf>
    <xf numFmtId="164" fontId="0" fillId="3" borderId="1" xfId="3" applyNumberFormat="1" applyFont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right" vertical="center"/>
    </xf>
    <xf numFmtId="164" fontId="1" fillId="3" borderId="1" xfId="3" applyNumberForma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right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164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7" fontId="1" fillId="3" borderId="1" xfId="3" applyNumberFormat="1" applyBorder="1" applyAlignment="1" applyProtection="1">
      <alignment horizontal="center" vertical="center"/>
    </xf>
    <xf numFmtId="167" fontId="4" fillId="4" borderId="1" xfId="0" applyNumberFormat="1" applyFont="1" applyFill="1" applyBorder="1" applyAlignment="1" applyProtection="1">
      <alignment horizontal="center" vertical="center"/>
    </xf>
    <xf numFmtId="167" fontId="0" fillId="3" borderId="1" xfId="3" applyNumberFormat="1" applyFont="1" applyBorder="1" applyAlignment="1" applyProtection="1">
      <alignment horizontal="center" vertical="center"/>
    </xf>
    <xf numFmtId="0" fontId="2" fillId="0" borderId="2" xfId="0" applyFont="1" applyBorder="1" applyAlignment="1">
      <alignment horizontal="left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zoomScale="112" zoomScaleNormal="112" zoomScaleSheetLayoutView="112" workbookViewId="0">
      <selection activeCell="I9" sqref="I9"/>
    </sheetView>
  </sheetViews>
  <sheetFormatPr defaultRowHeight="15" x14ac:dyDescent="0.25"/>
  <cols>
    <col min="1" max="1" width="15.140625" customWidth="1"/>
    <col min="2" max="2" width="8.28515625" customWidth="1"/>
    <col min="3" max="3" width="9.140625" customWidth="1"/>
    <col min="4" max="4" width="8.85546875" customWidth="1"/>
    <col min="5" max="5" width="11.140625" bestFit="1" customWidth="1"/>
    <col min="6" max="6" width="8" customWidth="1"/>
    <col min="7" max="7" width="8.28515625" customWidth="1"/>
    <col min="8" max="8" width="7.5703125" customWidth="1"/>
    <col min="9" max="9" width="8.85546875" customWidth="1"/>
    <col min="10" max="10" width="5.5703125" customWidth="1"/>
    <col min="11" max="11" width="10" customWidth="1"/>
    <col min="12" max="12" width="9" customWidth="1"/>
    <col min="13" max="13" width="6.7109375" customWidth="1"/>
    <col min="14" max="14" width="6" customWidth="1"/>
    <col min="15" max="15" width="8.5703125" customWidth="1"/>
    <col min="16" max="16" width="8.7109375" customWidth="1"/>
    <col min="17" max="17" width="7" customWidth="1"/>
  </cols>
  <sheetData>
    <row r="1" spans="1:17" ht="15" customHeight="1" x14ac:dyDescent="0.25">
      <c r="A1" s="20" t="s">
        <v>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5" customHeight="1" x14ac:dyDescent="0.25">
      <c r="A2" s="21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5" customHeight="1" x14ac:dyDescent="0.25">
      <c r="A3" s="23" t="s">
        <v>21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33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7" t="s">
        <v>3</v>
      </c>
      <c r="H4" s="17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7" t="s">
        <v>7</v>
      </c>
      <c r="Q4" s="17" t="s">
        <v>8</v>
      </c>
    </row>
    <row r="5" spans="1:17" ht="115.5" customHeight="1" x14ac:dyDescent="0.25">
      <c r="A5" s="23"/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8"/>
      <c r="H5" s="18"/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15</v>
      </c>
      <c r="O5" s="12" t="s">
        <v>16</v>
      </c>
      <c r="P5" s="18"/>
      <c r="Q5" s="18"/>
    </row>
    <row r="6" spans="1:17" x14ac:dyDescent="0.25">
      <c r="A6" s="13">
        <v>45383</v>
      </c>
      <c r="B6" s="1">
        <v>3218</v>
      </c>
      <c r="C6" s="1">
        <v>13309.416666666668</v>
      </c>
      <c r="D6" s="1">
        <v>8947.8199999999924</v>
      </c>
      <c r="E6" s="1">
        <v>470382</v>
      </c>
      <c r="F6" s="1">
        <v>1305.198391000001</v>
      </c>
      <c r="G6" s="1">
        <v>1658.3355539999993</v>
      </c>
      <c r="H6" s="2">
        <f t="shared" ref="H6:H17" si="0">F6/G6*100</f>
        <v>78.705325219120368</v>
      </c>
      <c r="I6" s="2">
        <v>3210.2639999999992</v>
      </c>
      <c r="J6" s="2">
        <v>0</v>
      </c>
      <c r="K6" s="2">
        <v>3210.2639999999992</v>
      </c>
      <c r="L6" s="2">
        <v>82.09328789999995</v>
      </c>
      <c r="M6" s="2">
        <v>6.6449196515000004</v>
      </c>
      <c r="N6" s="3">
        <v>0</v>
      </c>
      <c r="O6" s="2">
        <v>88.73820755149994</v>
      </c>
      <c r="P6" s="2">
        <v>160.97999999999996</v>
      </c>
      <c r="Q6" s="2">
        <f t="shared" ref="Q6:Q17" si="1">O6/P6*100</f>
        <v>55.123746770716828</v>
      </c>
    </row>
    <row r="7" spans="1:17" x14ac:dyDescent="0.25">
      <c r="A7" s="14">
        <v>45413</v>
      </c>
      <c r="B7" s="4">
        <v>3349</v>
      </c>
      <c r="C7" s="4">
        <v>13956.500000000004</v>
      </c>
      <c r="D7" s="4">
        <v>9214.6859999999942</v>
      </c>
      <c r="E7" s="4">
        <v>510024</v>
      </c>
      <c r="F7" s="4">
        <v>1406.3794190000008</v>
      </c>
      <c r="G7" s="4">
        <v>1720.2239550000018</v>
      </c>
      <c r="H7" s="5">
        <f t="shared" si="0"/>
        <v>81.755600188697485</v>
      </c>
      <c r="I7" s="5">
        <v>3326.8135000000016</v>
      </c>
      <c r="J7" s="5"/>
      <c r="K7" s="5">
        <v>3326.8135000000016</v>
      </c>
      <c r="L7" s="5">
        <v>109.06231759999996</v>
      </c>
      <c r="M7" s="5">
        <v>6.6797421784999997</v>
      </c>
      <c r="N7" s="6">
        <v>0</v>
      </c>
      <c r="O7" s="5">
        <v>115.74205977849995</v>
      </c>
      <c r="P7" s="5">
        <v>153.36719999999985</v>
      </c>
      <c r="Q7" s="5">
        <f t="shared" si="1"/>
        <v>75.467283603338956</v>
      </c>
    </row>
    <row r="8" spans="1:17" x14ac:dyDescent="0.25">
      <c r="A8" s="13">
        <v>45444</v>
      </c>
      <c r="B8" s="1">
        <v>3562</v>
      </c>
      <c r="C8" s="1">
        <v>14701.833333333332</v>
      </c>
      <c r="D8" s="1">
        <v>9064.7360000000062</v>
      </c>
      <c r="E8" s="1">
        <v>480928</v>
      </c>
      <c r="F8" s="1">
        <v>1330.3988950000005</v>
      </c>
      <c r="G8" s="1">
        <v>1827.4103970000008</v>
      </c>
      <c r="H8" s="2">
        <f t="shared" si="0"/>
        <v>72.802414672920349</v>
      </c>
      <c r="I8" s="2">
        <v>3430.4700000000012</v>
      </c>
      <c r="J8" s="2"/>
      <c r="K8" s="2">
        <v>3430.4700000000012</v>
      </c>
      <c r="L8" s="2">
        <v>92.20930645</v>
      </c>
      <c r="M8" s="2">
        <v>7.0984496004999995</v>
      </c>
      <c r="N8" s="7">
        <v>0</v>
      </c>
      <c r="O8" s="2">
        <v>99.307756050500004</v>
      </c>
      <c r="P8" s="2">
        <v>141.75982000000002</v>
      </c>
      <c r="Q8" s="2">
        <f t="shared" si="1"/>
        <v>70.053528602462947</v>
      </c>
    </row>
    <row r="9" spans="1:17" x14ac:dyDescent="0.25">
      <c r="A9" s="14">
        <v>45474</v>
      </c>
      <c r="B9" s="4">
        <v>3775</v>
      </c>
      <c r="C9" s="4">
        <v>14886.08333333333</v>
      </c>
      <c r="D9" s="4">
        <v>10356.281000000001</v>
      </c>
      <c r="E9" s="4">
        <v>521698</v>
      </c>
      <c r="F9" s="4">
        <v>1433.4029749999995</v>
      </c>
      <c r="G9" s="4">
        <v>1911.8259500000008</v>
      </c>
      <c r="H9" s="5">
        <f t="shared" si="0"/>
        <v>74.975599897051239</v>
      </c>
      <c r="I9" s="5">
        <v>3778.6855</v>
      </c>
      <c r="J9" s="5"/>
      <c r="K9" s="5">
        <v>3778.6855</v>
      </c>
      <c r="L9" s="5">
        <v>107.50522312500004</v>
      </c>
      <c r="M9" s="5">
        <v>8.0490045359999982</v>
      </c>
      <c r="N9" s="6">
        <v>0</v>
      </c>
      <c r="O9" s="5">
        <v>115.55422766100004</v>
      </c>
      <c r="P9" s="5">
        <v>207.12562000000005</v>
      </c>
      <c r="Q9" s="5">
        <f t="shared" si="1"/>
        <v>55.789442011567672</v>
      </c>
    </row>
    <row r="10" spans="1:17" x14ac:dyDescent="0.25">
      <c r="A10" s="13">
        <v>45505</v>
      </c>
      <c r="B10" s="1">
        <v>3990</v>
      </c>
      <c r="C10" s="1">
        <v>14507.833333333341</v>
      </c>
      <c r="D10" s="1">
        <v>10976.955000000013</v>
      </c>
      <c r="E10" s="1">
        <v>522002</v>
      </c>
      <c r="F10" s="1">
        <v>1445.3826340000003</v>
      </c>
      <c r="G10" s="1">
        <v>2014.7140960000004</v>
      </c>
      <c r="H10" s="2">
        <f t="shared" si="0"/>
        <v>71.741327311386414</v>
      </c>
      <c r="I10" s="2">
        <v>3803.7563000000014</v>
      </c>
      <c r="J10" s="2"/>
      <c r="K10" s="2">
        <v>3803.7563000000014</v>
      </c>
      <c r="L10" s="2">
        <v>108.40369755000006</v>
      </c>
      <c r="M10" s="2">
        <v>9.5464111102000011</v>
      </c>
      <c r="N10" s="7">
        <v>0</v>
      </c>
      <c r="O10" s="2">
        <v>117.95010866020006</v>
      </c>
      <c r="P10" s="2">
        <v>219.53910000000027</v>
      </c>
      <c r="Q10" s="2">
        <f t="shared" si="1"/>
        <v>53.726242232112597</v>
      </c>
    </row>
    <row r="11" spans="1:17" x14ac:dyDescent="0.25">
      <c r="A11" s="14">
        <v>45536</v>
      </c>
      <c r="B11" s="4">
        <v>3816</v>
      </c>
      <c r="C11" s="4">
        <v>13168.916666666662</v>
      </c>
      <c r="D11" s="4">
        <v>10575.180000000011</v>
      </c>
      <c r="E11" s="4">
        <v>484132</v>
      </c>
      <c r="F11" s="4">
        <v>1350.5113280000003</v>
      </c>
      <c r="G11" s="4">
        <v>1942.3151130000022</v>
      </c>
      <c r="H11" s="5">
        <f t="shared" si="0"/>
        <v>69.531010646056728</v>
      </c>
      <c r="I11" s="5">
        <v>6461.7085000000025</v>
      </c>
      <c r="J11" s="5"/>
      <c r="K11" s="5">
        <v>6461.7085000000025</v>
      </c>
      <c r="L11" s="5">
        <v>101.28834959999992</v>
      </c>
      <c r="M11" s="5">
        <v>9.5717993258000007</v>
      </c>
      <c r="N11" s="6">
        <v>0</v>
      </c>
      <c r="O11" s="5">
        <v>110.86014892579992</v>
      </c>
      <c r="P11" s="5">
        <v>211.5036000000002</v>
      </c>
      <c r="Q11" s="5">
        <f t="shared" si="1"/>
        <v>52.41525388967365</v>
      </c>
    </row>
    <row r="12" spans="1:17" x14ac:dyDescent="0.25">
      <c r="A12" s="13">
        <v>45566</v>
      </c>
      <c r="B12" s="1">
        <v>3849</v>
      </c>
      <c r="C12" s="1">
        <v>12532.583333333319</v>
      </c>
      <c r="D12" s="1">
        <v>10648.855999999991</v>
      </c>
      <c r="E12" s="1">
        <v>502743</v>
      </c>
      <c r="F12" s="1">
        <v>1388.7145509999982</v>
      </c>
      <c r="G12" s="1">
        <v>1955.2337590000011</v>
      </c>
      <c r="H12" s="2">
        <f t="shared" si="0"/>
        <v>71.025499872212336</v>
      </c>
      <c r="I12" s="2"/>
      <c r="J12" s="2"/>
      <c r="K12" s="2">
        <v>0</v>
      </c>
      <c r="L12" s="2">
        <v>102.15231195000001</v>
      </c>
      <c r="M12" s="2">
        <v>0</v>
      </c>
      <c r="N12" s="7">
        <v>0</v>
      </c>
      <c r="O12" s="2">
        <v>102.15231195000001</v>
      </c>
      <c r="P12" s="2">
        <v>212.97712000000035</v>
      </c>
      <c r="Q12" s="2">
        <f t="shared" si="1"/>
        <v>47.963984088995026</v>
      </c>
    </row>
    <row r="13" spans="1:17" x14ac:dyDescent="0.25">
      <c r="A13" s="14">
        <v>45597</v>
      </c>
      <c r="B13" s="4">
        <v>3597</v>
      </c>
      <c r="C13" s="4">
        <v>11413.999999999993</v>
      </c>
      <c r="D13" s="4">
        <v>8001.6969999999937</v>
      </c>
      <c r="E13" s="4">
        <v>508747</v>
      </c>
      <c r="F13" s="4">
        <v>1394.7814969999993</v>
      </c>
      <c r="G13" s="4">
        <v>1823.0022239999994</v>
      </c>
      <c r="H13" s="5">
        <f t="shared" si="0"/>
        <v>76.510136885055147</v>
      </c>
      <c r="I13" s="5">
        <v>6155.9583999999959</v>
      </c>
      <c r="J13" s="5"/>
      <c r="K13" s="5">
        <v>6155.9583999999959</v>
      </c>
      <c r="L13" s="5">
        <v>104.60861227500006</v>
      </c>
      <c r="M13" s="5">
        <v>10.688671127299996</v>
      </c>
      <c r="N13" s="6">
        <v>0</v>
      </c>
      <c r="O13" s="5">
        <v>115.29728340230005</v>
      </c>
      <c r="P13" s="5">
        <v>198.19016000000005</v>
      </c>
      <c r="Q13" s="5">
        <f t="shared" si="1"/>
        <v>58.175079631753675</v>
      </c>
    </row>
    <row r="14" spans="1:17" x14ac:dyDescent="0.25">
      <c r="A14" s="15">
        <v>45627</v>
      </c>
      <c r="B14" s="1">
        <v>4012</v>
      </c>
      <c r="C14" s="1">
        <v>13169.749999999996</v>
      </c>
      <c r="D14" s="1">
        <v>11050.44419946478</v>
      </c>
      <c r="E14" s="1">
        <v>548022</v>
      </c>
      <c r="F14" s="1">
        <v>1517.6433470077538</v>
      </c>
      <c r="G14" s="1">
        <v>2020.7043341058013</v>
      </c>
      <c r="H14" s="2">
        <f t="shared" si="0"/>
        <v>75.10467124718366</v>
      </c>
      <c r="I14" s="2">
        <v>7255.3947996205179</v>
      </c>
      <c r="J14" s="2">
        <v>23.296799999999998</v>
      </c>
      <c r="K14" s="2">
        <v>7278.691599620518</v>
      </c>
      <c r="L14" s="2">
        <v>114.8982008411635</v>
      </c>
      <c r="M14" s="2">
        <v>18.592367972812131</v>
      </c>
      <c r="N14" s="7">
        <v>2.3171317499999997E-2</v>
      </c>
      <c r="O14" s="2">
        <v>133.51374013147563</v>
      </c>
      <c r="P14" s="2">
        <v>221.00888398929544</v>
      </c>
      <c r="Q14" s="2">
        <f t="shared" si="1"/>
        <v>60.411028607312623</v>
      </c>
    </row>
    <row r="15" spans="1:17" x14ac:dyDescent="0.25">
      <c r="A15" s="14">
        <v>45658</v>
      </c>
      <c r="B15" s="4">
        <v>4154</v>
      </c>
      <c r="C15" s="4">
        <v>12926.250000000005</v>
      </c>
      <c r="D15" s="4">
        <v>11494.461113710766</v>
      </c>
      <c r="E15" s="4">
        <v>606427</v>
      </c>
      <c r="F15" s="4">
        <v>1679.2079999555499</v>
      </c>
      <c r="G15" s="4">
        <v>2103.2150824791493</v>
      </c>
      <c r="H15" s="5">
        <f t="shared" si="0"/>
        <v>79.840051259816747</v>
      </c>
      <c r="I15" s="5">
        <v>6454.7091940053888</v>
      </c>
      <c r="J15" s="5"/>
      <c r="K15" s="5">
        <v>6454.7091940053888</v>
      </c>
      <c r="L15" s="5">
        <v>129.17998569757557</v>
      </c>
      <c r="M15" s="5">
        <v>8.2512799664604763</v>
      </c>
      <c r="N15" s="6">
        <v>0</v>
      </c>
      <c r="O15" s="5">
        <v>137.43126566403603</v>
      </c>
      <c r="P15" s="5">
        <v>229.88922227421534</v>
      </c>
      <c r="Q15" s="5">
        <f t="shared" si="1"/>
        <v>59.781517508509353</v>
      </c>
    </row>
    <row r="16" spans="1:17" x14ac:dyDescent="0.25">
      <c r="A16" s="13">
        <v>45689</v>
      </c>
      <c r="B16" s="1">
        <v>3534</v>
      </c>
      <c r="C16" s="1">
        <v>11591.16666666667</v>
      </c>
      <c r="D16" s="1">
        <v>9783.2269381144288</v>
      </c>
      <c r="E16" s="1">
        <v>507390</v>
      </c>
      <c r="F16" s="1">
        <v>1397.2979941310707</v>
      </c>
      <c r="G16" s="1">
        <v>1796.1496645236359</v>
      </c>
      <c r="H16" s="2">
        <f t="shared" si="0"/>
        <v>77.794073719444398</v>
      </c>
      <c r="I16" s="2">
        <v>4692.5643999999993</v>
      </c>
      <c r="J16" s="2"/>
      <c r="K16" s="2">
        <v>4692.5643999999993</v>
      </c>
      <c r="L16" s="2">
        <v>106.00531767327951</v>
      </c>
      <c r="M16" s="2">
        <v>7.8811354674677396</v>
      </c>
      <c r="N16" s="7">
        <v>0</v>
      </c>
      <c r="O16" s="2">
        <v>113.88645314074725</v>
      </c>
      <c r="P16" s="2">
        <v>195.66453876228829</v>
      </c>
      <c r="Q16" s="2">
        <f t="shared" si="1"/>
        <v>58.204953161751625</v>
      </c>
    </row>
    <row r="17" spans="1:17" x14ac:dyDescent="0.25">
      <c r="A17" s="14">
        <v>45717</v>
      </c>
      <c r="B17" s="4">
        <v>3928</v>
      </c>
      <c r="C17" s="4">
        <v>12695.500000000004</v>
      </c>
      <c r="D17" s="4">
        <v>10822.180074597954</v>
      </c>
      <c r="E17" s="4">
        <v>495965</v>
      </c>
      <c r="F17" s="4">
        <v>1364.2586734823892</v>
      </c>
      <c r="G17" s="4">
        <v>1987.2297961522786</v>
      </c>
      <c r="H17" s="5">
        <f t="shared" si="0"/>
        <v>68.651279088301678</v>
      </c>
      <c r="I17" s="5">
        <v>4852.520999999997</v>
      </c>
      <c r="J17" s="5"/>
      <c r="K17" s="5">
        <v>4852.520999999997</v>
      </c>
      <c r="L17" s="5">
        <v>101.98131782169956</v>
      </c>
      <c r="M17" s="5">
        <v>8.0131620262633803</v>
      </c>
      <c r="N17" s="6">
        <v>0</v>
      </c>
      <c r="O17" s="5">
        <v>109.99447984796294</v>
      </c>
      <c r="P17" s="5">
        <v>216.4436014919593</v>
      </c>
      <c r="Q17" s="5">
        <f t="shared" si="1"/>
        <v>50.819002774747837</v>
      </c>
    </row>
    <row r="18" spans="1:17" x14ac:dyDescent="0.25">
      <c r="A18" s="8" t="s">
        <v>22</v>
      </c>
      <c r="B18" s="9">
        <f>SUM(B6:B17)</f>
        <v>44784</v>
      </c>
      <c r="C18" s="9">
        <f t="shared" ref="C18:F18" si="2">SUM(C6:C17)</f>
        <v>158859.83333333328</v>
      </c>
      <c r="D18" s="9">
        <f t="shared" si="2"/>
        <v>120936.52332588793</v>
      </c>
      <c r="E18" s="9">
        <f t="shared" si="2"/>
        <v>6158460</v>
      </c>
      <c r="F18" s="9">
        <f t="shared" si="2"/>
        <v>17013.177704576767</v>
      </c>
      <c r="G18" s="9">
        <f>SUM(G6:G17)</f>
        <v>22760.359925260869</v>
      </c>
      <c r="H18" s="10">
        <f t="shared" ref="H18" si="3">F18/G18*100</f>
        <v>74.749159329833276</v>
      </c>
      <c r="I18" s="10">
        <f t="shared" ref="I18:P18" si="4">SUM(I6:I17)</f>
        <v>53422.845593625898</v>
      </c>
      <c r="J18" s="10">
        <f t="shared" si="4"/>
        <v>23.296799999999998</v>
      </c>
      <c r="K18" s="10">
        <f t="shared" si="4"/>
        <v>53446.142393625909</v>
      </c>
      <c r="L18" s="10">
        <f t="shared" si="4"/>
        <v>1259.387928483718</v>
      </c>
      <c r="M18" s="10">
        <f t="shared" si="4"/>
        <v>101.01694296280371</v>
      </c>
      <c r="N18" s="11">
        <f t="shared" si="4"/>
        <v>2.3171317499999997E-2</v>
      </c>
      <c r="O18" s="10">
        <f t="shared" si="4"/>
        <v>1360.4280427640219</v>
      </c>
      <c r="P18" s="10">
        <f t="shared" si="4"/>
        <v>2368.4488665177591</v>
      </c>
      <c r="Q18" s="10">
        <f t="shared" ref="Q18" si="5">O18/P18*100</f>
        <v>57.439620588651671</v>
      </c>
    </row>
    <row r="19" spans="1:17" ht="15" customHeight="1" x14ac:dyDescent="0.25">
      <c r="A19" s="19" t="s">
        <v>19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2022-04-25T06:56:21Z</cp:lastPrinted>
  <dcterms:created xsi:type="dcterms:W3CDTF">2020-06-09T07:57:30Z</dcterms:created>
  <dcterms:modified xsi:type="dcterms:W3CDTF">2025-11-24T07:38:18Z</dcterms:modified>
</cp:coreProperties>
</file>