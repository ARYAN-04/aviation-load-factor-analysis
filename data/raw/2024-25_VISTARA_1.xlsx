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VISTARA\"/>
    </mc:Choice>
  </mc:AlternateContent>
  <bookViews>
    <workbookView xWindow="0" yWindow="0" windowWidth="24000" windowHeight="9435"/>
  </bookViews>
  <sheets>
    <sheet name="VISTARA" sheetId="1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16" l="1"/>
  <c r="H7" i="16"/>
  <c r="H8" i="16"/>
  <c r="H9" i="16"/>
  <c r="H10" i="16"/>
  <c r="H11" i="16"/>
  <c r="H12" i="16"/>
  <c r="H13" i="16"/>
  <c r="Q6" i="16" l="1"/>
  <c r="Q8" i="16" l="1"/>
  <c r="Q9" i="16"/>
  <c r="Q10" i="16"/>
  <c r="Q11" i="16"/>
  <c r="Q12" i="16"/>
  <c r="Q13" i="16"/>
  <c r="Q7" i="16"/>
  <c r="I18" i="16" l="1"/>
  <c r="C18" i="16"/>
  <c r="B18" i="16"/>
  <c r="P18" i="16"/>
  <c r="O18" i="16"/>
  <c r="N18" i="16"/>
  <c r="M18" i="16"/>
  <c r="L18" i="16"/>
  <c r="K18" i="16"/>
  <c r="J18" i="16"/>
  <c r="G18" i="16"/>
  <c r="F18" i="16"/>
  <c r="E18" i="16"/>
  <c r="D18" i="16"/>
  <c r="Q18" i="16" l="1"/>
  <c r="H18" i="1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<sst xmlns="http://schemas.openxmlformats.org/spreadsheetml/2006/main" count="26" uniqueCount="24">
  <si>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</si>
  <si>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</si>
  <si>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</si>
  <si>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</si>
  <si>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</si>
  <si>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</si>
  <si>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</si>
  <si>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</si>
  <si>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</si>
  <si>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</si>
  <si>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</si>
  <si>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</si>
  <si>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</si>
  <si>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</si>
  <si>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</si>
  <si>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</si>
  <si>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</si>
  <si>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</si>
  <si>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</si>
  <si>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(विस्तारा) </t>
  </si>
  <si>
    <t>Table 1.01 (VISTARA)</t>
  </si>
  <si>
    <t>SOURCE:-  ICAO ATR FORM 'A' FURNISHED BY VISTARA</t>
  </si>
  <si>
    <t>2024-25</t>
  </si>
  <si>
    <t>MONTHLY TRAFFIC AND OPERATING STATISTICS OF VISTARA ON SCHEDULED DOMESTIC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</si>
</sst>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</cellStyleXfs>
  <cellXfs count="25">
    <xf numFmtId="0" fontId="0" fillId="0" borderId="0" xfId="0"/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6" fontId="0" fillId="4" borderId="1" xfId="3" applyNumberFormat="1" applyFont="1" applyBorder="1" applyAlignment="1">
      <alignment horizontal="right" vertical="center"/>
    </xf>
    <xf numFmtId="166" fontId="0" fillId="4" borderId="1" xfId="3" applyNumberFormat="1" applyFont="1" applyBorder="1" applyAlignment="1">
      <alignment horizontal="center" vertical="center"/>
    </xf>
    <xf numFmtId="166" fontId="3" fillId="5" borderId="1" xfId="3" applyNumberFormat="1" applyFill="1" applyBorder="1" applyAlignment="1">
      <alignment horizontal="right" vertical="center"/>
    </xf>
    <xf numFmtId="0" fontId="4" fillId="6" borderId="1" xfId="4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left" vertical="center" wrapText="1"/>
    </xf>
    <xf numFmtId="168" fontId="3" fillId="6" borderId="1" xfId="4" applyNumberFormat="1" applyFill="1" applyBorder="1" applyAlignment="1">
      <alignment horizontal="center" vertical="center"/>
    </xf>
    <xf numFmtId="168" fontId="3" fillId="5" borderId="1" xfId="4" applyNumberFormat="1" applyFill="1" applyBorder="1" applyAlignment="1">
      <alignment horizontal="center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5">
    <cellStyle name="40% - Accent1" xfId="4" builtinId="31"/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zoomScaleNormal="98" zoomScaleSheetLayoutView="100" workbookViewId="0">
      <selection activeCell="M5" sqref="M5"/>
    </sheetView>
  </sheetViews>
  <sheetFormatPr defaultRowHeight="15" x14ac:dyDescent="0.25"/>
  <cols>
    <col min="1" max="1" width="15" customWidth="1"/>
    <col min="2" max="2" width="7.28515625" customWidth="1"/>
    <col min="3" max="3" width="8.140625" customWidth="1"/>
    <col min="4" max="4" width="7.42578125" customWidth="1"/>
    <col min="5" max="5" width="11.140625" customWidth="1"/>
    <col min="6" max="6" width="10.140625" customWidth="1"/>
    <col min="7" max="7" width="9.42578125" customWidth="1"/>
    <col min="8" max="8" width="6.7109375" customWidth="1"/>
    <col min="10" max="10" width="7.42578125" customWidth="1"/>
    <col min="12" max="12" width="9.7109375" customWidth="1"/>
    <col min="13" max="13" width="8.140625" customWidth="1"/>
    <col min="14" max="14" width="6.28515625" customWidth="1"/>
    <col min="15" max="15" width="10.42578125" customWidth="1"/>
    <col min="16" max="16" width="9.42578125" customWidth="1"/>
    <col min="17" max="17" width="6.85546875" customWidth="1"/>
  </cols>
  <sheetData>
    <row r="1" spans="1:17" x14ac:dyDescent="0.25">
      <c r="A1" s="20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8.9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5" t="s">
        <v>3</v>
      </c>
      <c r="H4" s="1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5" t="s">
        <v>8</v>
      </c>
    </row>
    <row r="5" spans="1:17" ht="107.25" customHeight="1" x14ac:dyDescent="0.25">
      <c r="A5" s="23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6"/>
      <c r="H5" s="16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6"/>
      <c r="Q5" s="16"/>
    </row>
    <row r="6" spans="1:17" x14ac:dyDescent="0.25">
      <c r="A6" s="13">
        <v>45383</v>
      </c>
      <c r="B6" s="1">
        <v>7971</v>
      </c>
      <c r="C6" s="1">
        <v>9675.66</v>
      </c>
      <c r="D6" s="1">
        <v>8319.1280000000006</v>
      </c>
      <c r="E6" s="1">
        <v>1217667</v>
      </c>
      <c r="F6" s="1">
        <v>1281.4300309999999</v>
      </c>
      <c r="G6" s="1">
        <v>1409.129138</v>
      </c>
      <c r="H6" s="9">
        <f t="shared" ref="H6:H18" si="0">F6/G6*100</f>
        <v>90.937728590209588</v>
      </c>
      <c r="I6" s="4">
        <v>5476.9249099999997</v>
      </c>
      <c r="J6" s="4">
        <v>335.17887000000007</v>
      </c>
      <c r="K6" s="4">
        <v>5812.1037799999995</v>
      </c>
      <c r="L6" s="4">
        <v>115.3264000499999</v>
      </c>
      <c r="M6" s="4">
        <v>6.8723247365499995</v>
      </c>
      <c r="N6" s="4">
        <v>0.40076000000000001</v>
      </c>
      <c r="O6" s="4">
        <v>122.59948478654991</v>
      </c>
      <c r="P6" s="4">
        <v>148.29900000000001</v>
      </c>
      <c r="Q6" s="8">
        <f t="shared" ref="Q6" si="1">O6/P6*100</f>
        <v>82.670473021766767</v>
      </c>
    </row>
    <row r="7" spans="1:17" x14ac:dyDescent="0.25">
      <c r="A7" s="14">
        <v>45413</v>
      </c>
      <c r="B7" s="2">
        <v>8092</v>
      </c>
      <c r="C7" s="2">
        <v>13291.683300000001</v>
      </c>
      <c r="D7" s="2">
        <v>8683.3150000000005</v>
      </c>
      <c r="E7" s="2">
        <v>1270944</v>
      </c>
      <c r="F7" s="2">
        <v>1365.2288819999999</v>
      </c>
      <c r="G7" s="2">
        <v>1461.99478</v>
      </c>
      <c r="H7" s="5">
        <f t="shared" si="0"/>
        <v>93.381241894721398</v>
      </c>
      <c r="I7" s="5">
        <v>7002.3076700000001</v>
      </c>
      <c r="J7" s="5">
        <v>380.57762000000002</v>
      </c>
      <c r="K7" s="10">
        <v>7382.8852900000002</v>
      </c>
      <c r="L7" s="5">
        <v>122.87064096</v>
      </c>
      <c r="M7" s="5">
        <v>8.856873929499999</v>
      </c>
      <c r="N7" s="5">
        <v>0.45012285554999998</v>
      </c>
      <c r="O7" s="5">
        <v>132.17763774505002</v>
      </c>
      <c r="P7" s="5">
        <v>152.3928952</v>
      </c>
      <c r="Q7" s="5">
        <f>O7/P7*100</f>
        <v>86.734776953729025</v>
      </c>
    </row>
    <row r="8" spans="1:17" x14ac:dyDescent="0.25">
      <c r="A8" s="13">
        <v>45444</v>
      </c>
      <c r="B8" s="1">
        <v>8349</v>
      </c>
      <c r="C8" s="1">
        <v>13772.716666666667</v>
      </c>
      <c r="D8" s="1">
        <v>8959.5580000000009</v>
      </c>
      <c r="E8" s="1">
        <v>1276193</v>
      </c>
      <c r="F8" s="1">
        <v>1372.6488240000001</v>
      </c>
      <c r="G8" s="1">
        <v>1507.9711560000001</v>
      </c>
      <c r="H8" s="9">
        <f t="shared" si="0"/>
        <v>91.02619891225558</v>
      </c>
      <c r="I8" s="4">
        <v>7236.6589599999979</v>
      </c>
      <c r="J8" s="4">
        <v>386.28524000000004</v>
      </c>
      <c r="K8" s="4">
        <v>7622.9441999999981</v>
      </c>
      <c r="L8" s="4">
        <v>123.53839416</v>
      </c>
      <c r="M8" s="4">
        <v>8.8926691061900005</v>
      </c>
      <c r="N8" s="4">
        <v>0.45849331021</v>
      </c>
      <c r="O8" s="4">
        <v>132.8895565764</v>
      </c>
      <c r="P8" s="4">
        <v>157.31894800000001</v>
      </c>
      <c r="Q8" s="8">
        <f t="shared" ref="Q8:Q13" si="2">O8/P8*100</f>
        <v>84.471424622290243</v>
      </c>
    </row>
    <row r="9" spans="1:17" x14ac:dyDescent="0.25">
      <c r="A9" s="14">
        <v>45474</v>
      </c>
      <c r="B9" s="2">
        <v>8550</v>
      </c>
      <c r="C9" s="2">
        <v>14369.3</v>
      </c>
      <c r="D9" s="2">
        <v>9146.0640000000003</v>
      </c>
      <c r="E9" s="2">
        <v>1293519</v>
      </c>
      <c r="F9" s="2">
        <v>1386.1269150000001</v>
      </c>
      <c r="G9" s="2">
        <v>1540.458245</v>
      </c>
      <c r="H9" s="5">
        <f t="shared" si="0"/>
        <v>89.981466196767968</v>
      </c>
      <c r="I9" s="5">
        <v>7360.8626299999996</v>
      </c>
      <c r="J9" s="5">
        <v>424.60581999999994</v>
      </c>
      <c r="K9" s="10">
        <v>7785.4684499999994</v>
      </c>
      <c r="L9" s="5">
        <v>124.75134099</v>
      </c>
      <c r="M9" s="5">
        <v>9.1418674568000089</v>
      </c>
      <c r="N9" s="5">
        <v>0.50714921666000001</v>
      </c>
      <c r="O9" s="5">
        <v>134.40035766346003</v>
      </c>
      <c r="P9" s="5">
        <v>160.78311819999999</v>
      </c>
      <c r="Q9" s="5">
        <f t="shared" si="2"/>
        <v>83.591087900334074</v>
      </c>
    </row>
    <row r="10" spans="1:17" x14ac:dyDescent="0.25">
      <c r="A10" s="13">
        <v>45505</v>
      </c>
      <c r="B10" s="1">
        <v>9068</v>
      </c>
      <c r="C10" s="1">
        <v>14883.45</v>
      </c>
      <c r="D10" s="1">
        <v>9565.5730000000003</v>
      </c>
      <c r="E10" s="1">
        <v>1353907</v>
      </c>
      <c r="F10" s="1">
        <v>1429.6453819999999</v>
      </c>
      <c r="G10" s="1">
        <v>1611.462916</v>
      </c>
      <c r="H10" s="9">
        <f t="shared" si="0"/>
        <v>88.717237474424138</v>
      </c>
      <c r="I10" s="4">
        <v>7471.0761700000003</v>
      </c>
      <c r="J10" s="4">
        <v>418.1342699999999</v>
      </c>
      <c r="K10" s="4">
        <v>7889.2104399999998</v>
      </c>
      <c r="L10" s="4">
        <v>128.66772456000001</v>
      </c>
      <c r="M10" s="4">
        <v>9.2908667733999994</v>
      </c>
      <c r="N10" s="4">
        <v>0.49262716898000003</v>
      </c>
      <c r="O10" s="4">
        <v>138.45121850237999</v>
      </c>
      <c r="P10" s="4">
        <v>168.26579253899999</v>
      </c>
      <c r="Q10" s="8">
        <f t="shared" si="2"/>
        <v>82.281262527135638</v>
      </c>
    </row>
    <row r="11" spans="1:17" x14ac:dyDescent="0.25">
      <c r="A11" s="14">
        <v>45536</v>
      </c>
      <c r="B11" s="2">
        <v>8582</v>
      </c>
      <c r="C11" s="2">
        <v>14081.016666666666</v>
      </c>
      <c r="D11" s="2">
        <v>9118.0220000000008</v>
      </c>
      <c r="E11" s="2">
        <v>1308202</v>
      </c>
      <c r="F11" s="2">
        <v>1397.469638</v>
      </c>
      <c r="G11" s="2">
        <v>1537.125558</v>
      </c>
      <c r="H11" s="5">
        <f t="shared" si="0"/>
        <v>90.914475445863346</v>
      </c>
      <c r="I11" s="5">
        <v>7452.6439900000032</v>
      </c>
      <c r="J11" s="5">
        <v>427.90707999999989</v>
      </c>
      <c r="K11" s="10">
        <v>7880.5510700000032</v>
      </c>
      <c r="L11" s="5">
        <v>125.77210893</v>
      </c>
      <c r="M11" s="5">
        <v>9.3530002256099998</v>
      </c>
      <c r="N11" s="5">
        <v>0.50946968211999999</v>
      </c>
      <c r="O11" s="5">
        <v>135.63457883773</v>
      </c>
      <c r="P11" s="5">
        <v>160.59388519999999</v>
      </c>
      <c r="Q11" s="5">
        <f t="shared" si="2"/>
        <v>84.458121595858884</v>
      </c>
    </row>
    <row r="12" spans="1:17" x14ac:dyDescent="0.25">
      <c r="A12" s="13">
        <v>45566</v>
      </c>
      <c r="B12" s="1">
        <v>8559</v>
      </c>
      <c r="C12" s="1">
        <v>13998.75</v>
      </c>
      <c r="D12" s="1">
        <v>9135.5499999999993</v>
      </c>
      <c r="E12" s="1">
        <v>1243110</v>
      </c>
      <c r="F12" s="1">
        <v>1324.0205900000001</v>
      </c>
      <c r="G12" s="1">
        <v>1538.1929779999998</v>
      </c>
      <c r="H12" s="9">
        <f t="shared" si="0"/>
        <v>86.076364210264927</v>
      </c>
      <c r="I12" s="4">
        <v>7174.246070000002</v>
      </c>
      <c r="J12" s="4">
        <v>385.57094000000001</v>
      </c>
      <c r="K12" s="4">
        <v>7559.8170100000016</v>
      </c>
      <c r="L12" s="4">
        <v>119.16096597000001</v>
      </c>
      <c r="M12" s="4">
        <v>8.93557251979</v>
      </c>
      <c r="N12" s="4">
        <v>0.45967311826999996</v>
      </c>
      <c r="O12" s="4">
        <v>128.55621160806001</v>
      </c>
      <c r="P12" s="4">
        <v>160.46692547799998</v>
      </c>
      <c r="Q12" s="8">
        <f t="shared" si="2"/>
        <v>80.11383730642055</v>
      </c>
    </row>
    <row r="13" spans="1:17" x14ac:dyDescent="0.25">
      <c r="A13" s="14">
        <v>45597</v>
      </c>
      <c r="B13" s="2">
        <v>2786</v>
      </c>
      <c r="C13" s="2">
        <v>4521.833333333333</v>
      </c>
      <c r="D13" s="2">
        <v>2988.9279999999999</v>
      </c>
      <c r="E13" s="2">
        <v>415141</v>
      </c>
      <c r="F13" s="2">
        <v>443.377094</v>
      </c>
      <c r="G13" s="2">
        <v>503.55610300000001</v>
      </c>
      <c r="H13" s="5">
        <f t="shared" si="0"/>
        <v>88.049194788529846</v>
      </c>
      <c r="I13" s="5">
        <v>1249.0981500000005</v>
      </c>
      <c r="J13" s="5">
        <v>72.403840000000002</v>
      </c>
      <c r="K13" s="10">
        <v>1321.5019900000004</v>
      </c>
      <c r="L13" s="5">
        <v>39.90353751</v>
      </c>
      <c r="M13" s="5">
        <v>1.5974126395699999</v>
      </c>
      <c r="N13" s="5">
        <v>8.6042262179999995E-2</v>
      </c>
      <c r="O13" s="5">
        <v>41.586992411750003</v>
      </c>
      <c r="P13" s="5">
        <v>52.588572200000002</v>
      </c>
      <c r="Q13" s="5">
        <f t="shared" si="2"/>
        <v>79.079904001938289</v>
      </c>
    </row>
    <row r="14" spans="1:17" x14ac:dyDescent="0.25">
      <c r="A14" s="13">
        <v>45627</v>
      </c>
      <c r="B14" s="1"/>
      <c r="C14" s="1"/>
      <c r="D14" s="1"/>
      <c r="E14" s="1"/>
      <c r="F14" s="1"/>
      <c r="G14" s="1"/>
      <c r="H14" s="9"/>
      <c r="I14" s="4"/>
      <c r="J14" s="4"/>
      <c r="K14" s="4"/>
      <c r="L14" s="4"/>
      <c r="M14" s="4"/>
      <c r="N14" s="4"/>
      <c r="O14" s="4"/>
      <c r="P14" s="4"/>
      <c r="Q14" s="8"/>
    </row>
    <row r="15" spans="1:17" x14ac:dyDescent="0.25">
      <c r="A15" s="14">
        <v>45658</v>
      </c>
      <c r="B15" s="2"/>
      <c r="C15" s="2"/>
      <c r="D15" s="2"/>
      <c r="E15" s="2"/>
      <c r="F15" s="2"/>
      <c r="G15" s="2"/>
      <c r="H15" s="5"/>
      <c r="I15" s="5"/>
      <c r="J15" s="5"/>
      <c r="K15" s="10"/>
      <c r="L15" s="5"/>
      <c r="M15" s="5"/>
      <c r="N15" s="5"/>
      <c r="O15" s="5"/>
      <c r="P15" s="5"/>
      <c r="Q15" s="5"/>
    </row>
    <row r="16" spans="1:17" x14ac:dyDescent="0.25">
      <c r="A16" s="13">
        <v>45689</v>
      </c>
      <c r="B16" s="1"/>
      <c r="C16" s="1"/>
      <c r="D16" s="1"/>
      <c r="E16" s="1"/>
      <c r="F16" s="1"/>
      <c r="G16" s="1"/>
      <c r="H16" s="9"/>
      <c r="I16" s="4"/>
      <c r="J16" s="4"/>
      <c r="K16" s="4"/>
      <c r="L16" s="4"/>
      <c r="M16" s="4"/>
      <c r="N16" s="4"/>
      <c r="O16" s="4"/>
      <c r="P16" s="4"/>
      <c r="Q16" s="8"/>
    </row>
    <row r="17" spans="1:17" x14ac:dyDescent="0.25">
      <c r="A17" s="14">
        <v>45717</v>
      </c>
      <c r="B17" s="2"/>
      <c r="C17" s="2"/>
      <c r="D17" s="2"/>
      <c r="E17" s="2"/>
      <c r="F17" s="2"/>
      <c r="G17" s="2"/>
      <c r="H17" s="5"/>
      <c r="I17" s="5"/>
      <c r="J17" s="5"/>
      <c r="K17" s="10"/>
      <c r="L17" s="5"/>
      <c r="M17" s="5"/>
      <c r="N17" s="5"/>
      <c r="O17" s="5"/>
      <c r="P17" s="5"/>
      <c r="Q17" s="5"/>
    </row>
    <row r="18" spans="1:17" x14ac:dyDescent="0.25">
      <c r="A18" s="11" t="s">
        <v>22</v>
      </c>
      <c r="B18" s="3">
        <f>SUM(B6:B17)</f>
        <v>61957</v>
      </c>
      <c r="C18" s="3">
        <f t="shared" ref="C18:G18" si="3">SUM(C6:C17)</f>
        <v>98594.409966666659</v>
      </c>
      <c r="D18" s="3">
        <f t="shared" si="3"/>
        <v>65916.138000000006</v>
      </c>
      <c r="E18" s="3">
        <f t="shared" si="3"/>
        <v>9378683</v>
      </c>
      <c r="F18" s="3">
        <f t="shared" si="3"/>
        <v>9999.9473559999988</v>
      </c>
      <c r="G18" s="3">
        <f t="shared" si="3"/>
        <v>11109.890874000001</v>
      </c>
      <c r="H18" s="6">
        <f t="shared" si="0"/>
        <v>90.00941115814598</v>
      </c>
      <c r="I18" s="6">
        <f t="shared" ref="I18:P18" si="4">SUM(I6:I17)</f>
        <v>50423.818550000004</v>
      </c>
      <c r="J18" s="6">
        <f t="shared" si="4"/>
        <v>2830.6636800000001</v>
      </c>
      <c r="K18" s="6">
        <f t="shared" si="4"/>
        <v>53254.482229999994</v>
      </c>
      <c r="L18" s="6">
        <f t="shared" si="4"/>
        <v>899.99111313000003</v>
      </c>
      <c r="M18" s="6">
        <f t="shared" si="4"/>
        <v>62.940587387410012</v>
      </c>
      <c r="N18" s="6">
        <f t="shared" si="4"/>
        <v>3.3643376139700001</v>
      </c>
      <c r="O18" s="6">
        <f t="shared" si="4"/>
        <v>966.29603813137999</v>
      </c>
      <c r="P18" s="6">
        <f t="shared" si="4"/>
        <v>1160.7091368169999</v>
      </c>
      <c r="Q18" s="6">
        <f>O18/P18*100</f>
        <v>83.250489505169497</v>
      </c>
    </row>
    <row r="19" spans="1:17" x14ac:dyDescent="0.25">
      <c r="A19" s="17" t="s">
        <v>21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  <row r="20" spans="1:1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6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2020-05-06T11:03:48Z</cp:lastPrinted>
  <dcterms:created xsi:type="dcterms:W3CDTF">2018-10-29T04:00:07Z</dcterms:created>
  <dcterms:modified xsi:type="dcterms:W3CDTF">2025-11-14T06:57:41Z</dcterms:modified>
</cp:coreProperties>
</file>