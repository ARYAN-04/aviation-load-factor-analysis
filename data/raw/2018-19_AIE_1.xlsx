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AIR INDIA EXPRESS\"/>
    </mc:Choice>
  </mc:AlternateContent>
  <bookViews>
    <workbookView xWindow="-120" yWindow="-120" windowWidth="20736" windowHeight="11160"/>
  </bookViews>
  <sheets>
    <sheet name="AIR INDIA EXPRESS" sheetId="8" r:id="rId1"/>
  </sheets>
  <calcPr calcId="191029" iterateDelta="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8" l="1"/>
  <c r="Q8" i="8"/>
  <c r="Q9" i="8"/>
  <c r="Q10" i="8"/>
  <c r="Q11" i="8"/>
  <c r="Q12" i="8"/>
  <c r="Q13" i="8"/>
  <c r="Q14" i="8"/>
  <c r="Q15" i="8"/>
  <c r="Q16" i="8"/>
  <c r="Q17" i="8"/>
  <c r="Q18" i="8"/>
  <c r="Q6" i="8"/>
  <c r="H7" i="8"/>
  <c r="H8" i="8"/>
  <c r="H9" i="8"/>
  <c r="H10" i="8"/>
  <c r="H11" i="8"/>
  <c r="H12" i="8"/>
  <c r="H13" i="8"/>
  <c r="H14" i="8"/>
  <c r="H15" i="8"/>
  <c r="H16" i="8"/>
  <c r="H17" i="8"/>
  <c r="H18" i="8"/>
  <c r="H6" i="8"/>
  <c r="P18" i="8" l="1"/>
  <c r="O18" i="8"/>
  <c r="N18" i="8"/>
  <c r="M18" i="8"/>
  <c r="L18" i="8"/>
  <c r="K18" i="8"/>
  <c r="J18" i="8"/>
  <c r="I18" i="8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<sst xmlns="http://schemas.openxmlformats.org/spreadsheetml/2006/main" count="26" uniqueCount="24">
  <si>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</si>
  <si>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</si>
  <si>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</si>
  <si>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</si>
  <si>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</si>
  <si>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</si>
  <si>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</si>
  <si>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</si>
  <si>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</si>
  <si>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</si>
  <si>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</si>
  <si>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</si>
  <si>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</si>
  <si>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</si>
  <si>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</si>
  <si>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</si>
  <si>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</si>
  <si>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</si>
  <si>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</si>
  <si>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</si>
  <si>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 xml:space="preserve">तालिका 1.01 (एयर इंडिया एक्सप्रेस) </t>
  </si>
  <si>
    <t>Table 1.01 ( AIR INDIA EXPRESS)</t>
  </si>
  <si>
    <t>MONTHLY TRAFFIC AND OPERATING STATISTICS OF AIR INDIA EXPRESS ON SCHEDULED DOMESTIC SERVICES DURING 2018-19</t>
  </si>
  <si>
    <t>SOURCE:-  ICAO ATR FORM 'A' FURNISHED BY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</si>
</sst>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4">
    <xf numFmtId="0" fontId="0" fillId="0" borderId="0" xfId="0"/>
    <xf numFmtId="0" fontId="4" fillId="5" borderId="1" xfId="4" applyFont="1" applyBorder="1" applyAlignment="1" applyProtection="1">
      <alignment horizontal="center" vertical="center" wrapText="1"/>
    </xf>
    <xf numFmtId="164" fontId="3" fillId="5" borderId="1" xfId="4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5" borderId="1" xfId="4" applyNumberFormat="1" applyFont="1" applyBorder="1" applyAlignment="1" applyProtection="1">
      <alignment horizontal="right" vertical="center" wrapText="1"/>
    </xf>
    <xf numFmtId="165" fontId="3" fillId="5" borderId="1" xfId="4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5" borderId="1" xfId="4" applyNumberFormat="1" applyFont="1" applyBorder="1" applyAlignment="1" applyProtection="1">
      <alignment horizontal="right" vertical="center" wrapText="1"/>
    </xf>
    <xf numFmtId="17" fontId="3" fillId="5" borderId="1" xfId="4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167" fontId="3" fillId="4" borderId="1" xfId="3" applyNumberFormat="1" applyBorder="1" applyAlignment="1" applyProtection="1">
      <alignment horizontal="center" vertical="center" wrapText="1"/>
    </xf>
    <xf numFmtId="167" fontId="4" fillId="4" borderId="1" xfId="3" applyNumberFormat="1" applyFont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</cellXfs>
  <cellStyles count="5">
    <cellStyle name="20% - Accent2" xfId="3" builtinId="34"/>
    <cellStyle name="40% - Accent2" xfId="4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workbookViewId="0">
      <selection activeCell="O18" sqref="O18"/>
    </sheetView>
  </sheetViews>
  <sheetFormatPr defaultRowHeight="14.4" x14ac:dyDescent="0.3"/>
  <cols>
    <col min="2" max="2" width="6" customWidth="1"/>
    <col min="3" max="4" width="5.44140625" customWidth="1"/>
    <col min="5" max="5" width="8" customWidth="1"/>
    <col min="6" max="6" width="6.33203125" customWidth="1"/>
    <col min="7" max="7" width="8" customWidth="1"/>
    <col min="8" max="8" width="8.33203125" customWidth="1"/>
    <col min="9" max="10" width="6.44140625" customWidth="1"/>
    <col min="11" max="11" width="8.33203125" customWidth="1"/>
    <col min="12" max="12" width="7.109375" customWidth="1"/>
    <col min="13" max="13" width="7.44140625" customWidth="1"/>
    <col min="14" max="14" width="7.33203125" customWidth="1"/>
    <col min="15" max="15" width="6.44140625" customWidth="1"/>
    <col min="17" max="17" width="7.44140625" customWidth="1"/>
  </cols>
  <sheetData>
    <row r="1" spans="1:17" x14ac:dyDescent="0.3">
      <c r="A1" s="18" t="s">
        <v>20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3">
      <c r="A2" s="20" t="s">
        <v>21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x14ac:dyDescent="0.3">
      <c r="A3" s="22" t="s">
        <v>22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33" customHeight="1" x14ac:dyDescent="0.3">
      <c r="A4" s="22" t="s">
        <v>0</v>
      </c>
      <c r="B4" s="22" t="s">
        <v>1</v>
      </c>
      <c r="C4" s="22"/>
      <c r="D4" s="22"/>
      <c r="E4" s="22" t="s">
        <v>2</v>
      </c>
      <c r="F4" s="23"/>
      <c r="G4" s="13" t="s">
        <v>3</v>
      </c>
      <c r="H4" s="13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3" t="s">
        <v>7</v>
      </c>
      <c r="Q4" s="13" t="s">
        <v>8</v>
      </c>
    </row>
    <row r="5" spans="1:17" ht="111" customHeight="1" x14ac:dyDescent="0.3">
      <c r="A5" s="22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4"/>
      <c r="H5" s="14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4"/>
      <c r="Q5" s="14"/>
    </row>
    <row r="6" spans="1:17" x14ac:dyDescent="0.3">
      <c r="A6" s="8">
        <v>43191</v>
      </c>
      <c r="B6" s="2">
        <v>251</v>
      </c>
      <c r="C6" s="2">
        <v>385.11</v>
      </c>
      <c r="D6" s="2">
        <v>184.61</v>
      </c>
      <c r="E6" s="2">
        <v>18590</v>
      </c>
      <c r="F6" s="2">
        <v>22.784464</v>
      </c>
      <c r="G6" s="2">
        <v>34.336716000000003</v>
      </c>
      <c r="H6" s="11">
        <f>F6/G6*100</f>
        <v>66.355978830357571</v>
      </c>
      <c r="I6" s="5">
        <v>21.338999999999999</v>
      </c>
      <c r="J6" s="5">
        <v>2.9000000000000001E-2</v>
      </c>
      <c r="K6" s="5">
        <v>21.367999999999999</v>
      </c>
      <c r="L6" s="5">
        <v>1.0416396590000001</v>
      </c>
      <c r="M6" s="5">
        <v>7.3066820000000001E-3</v>
      </c>
      <c r="N6" s="5">
        <v>5.6317999999999998E-5</v>
      </c>
      <c r="O6" s="5">
        <v>1.0490026589999999</v>
      </c>
      <c r="P6" s="5">
        <v>1.926285998</v>
      </c>
      <c r="Q6" s="11">
        <f>O6/P6*100</f>
        <v>54.457264398388673</v>
      </c>
    </row>
    <row r="7" spans="1:17" x14ac:dyDescent="0.3">
      <c r="A7" s="9">
        <v>43221</v>
      </c>
      <c r="B7" s="3">
        <v>247</v>
      </c>
      <c r="C7" s="3">
        <v>393.48</v>
      </c>
      <c r="D7" s="3">
        <v>186.5</v>
      </c>
      <c r="E7" s="3">
        <v>17789</v>
      </c>
      <c r="F7" s="3">
        <v>25.441599999999998</v>
      </c>
      <c r="G7" s="3">
        <v>34.6892</v>
      </c>
      <c r="H7" s="11">
        <f t="shared" ref="H7:H18" si="0">F7/G7*100</f>
        <v>73.341558756039333</v>
      </c>
      <c r="I7" s="6">
        <v>32</v>
      </c>
      <c r="J7" s="6">
        <v>3.0000000000000001E-3</v>
      </c>
      <c r="K7" s="6">
        <v>32.003</v>
      </c>
      <c r="L7" s="6">
        <v>1.9807999999999999</v>
      </c>
      <c r="M7" s="6">
        <v>1.24E-2</v>
      </c>
      <c r="N7" s="6">
        <v>4.1099999999999996E-4</v>
      </c>
      <c r="O7" s="6">
        <v>1.9932003999999999</v>
      </c>
      <c r="P7" s="6">
        <v>3.1246999999999998</v>
      </c>
      <c r="Q7" s="11">
        <f t="shared" ref="Q7:Q18" si="1">O7/P7*100</f>
        <v>63.788536499503955</v>
      </c>
    </row>
    <row r="8" spans="1:17" x14ac:dyDescent="0.3">
      <c r="A8" s="8">
        <v>43252</v>
      </c>
      <c r="B8" s="2">
        <v>247</v>
      </c>
      <c r="C8" s="2">
        <v>392.06</v>
      </c>
      <c r="D8" s="2">
        <v>178.4</v>
      </c>
      <c r="E8" s="2">
        <v>13637</v>
      </c>
      <c r="F8" s="2">
        <v>21.642099999999999</v>
      </c>
      <c r="G8" s="2">
        <v>33.181800000000003</v>
      </c>
      <c r="H8" s="11">
        <f t="shared" si="0"/>
        <v>65.222802861809782</v>
      </c>
      <c r="I8" s="5">
        <v>11.5</v>
      </c>
      <c r="J8" s="5">
        <v>0</v>
      </c>
      <c r="K8" s="5">
        <v>11.5</v>
      </c>
      <c r="L8" s="5">
        <v>1.80732</v>
      </c>
      <c r="M8" s="5">
        <v>6.5799999999999999E-3</v>
      </c>
      <c r="N8" s="5">
        <v>0</v>
      </c>
      <c r="O8" s="5">
        <v>1.8138999999999998</v>
      </c>
      <c r="P8" s="5">
        <v>3.2067800000000002</v>
      </c>
      <c r="Q8" s="11">
        <f t="shared" si="1"/>
        <v>56.564528904383828</v>
      </c>
    </row>
    <row r="9" spans="1:17" x14ac:dyDescent="0.3">
      <c r="A9" s="9">
        <v>43282</v>
      </c>
      <c r="B9" s="3">
        <v>250</v>
      </c>
      <c r="C9" s="3">
        <v>388.57</v>
      </c>
      <c r="D9" s="3">
        <v>178.74</v>
      </c>
      <c r="E9" s="3">
        <v>14499</v>
      </c>
      <c r="F9" s="3">
        <v>20.644853000000001</v>
      </c>
      <c r="G9" s="3">
        <v>33.244999999999997</v>
      </c>
      <c r="H9" s="11">
        <f t="shared" si="0"/>
        <v>62.099121672431956</v>
      </c>
      <c r="I9" s="6">
        <v>13.083</v>
      </c>
      <c r="J9" s="6">
        <v>0</v>
      </c>
      <c r="K9" s="6">
        <v>13.083</v>
      </c>
      <c r="L9" s="6">
        <v>1.6749813739999999</v>
      </c>
      <c r="M9" s="6">
        <v>1.5636586000000001E-2</v>
      </c>
      <c r="N9" s="6">
        <v>0</v>
      </c>
      <c r="O9" s="6">
        <v>1.69061796</v>
      </c>
      <c r="P9" s="6">
        <v>3.1221309079999999</v>
      </c>
      <c r="Q9" s="11">
        <f t="shared" si="1"/>
        <v>54.149489877828017</v>
      </c>
    </row>
    <row r="10" spans="1:17" x14ac:dyDescent="0.3">
      <c r="A10" s="8">
        <v>43313</v>
      </c>
      <c r="B10" s="2">
        <v>198</v>
      </c>
      <c r="C10" s="2">
        <v>339.56</v>
      </c>
      <c r="D10" s="2">
        <v>169.94</v>
      </c>
      <c r="E10" s="2">
        <v>16703</v>
      </c>
      <c r="F10" s="2">
        <v>21.767810000000001</v>
      </c>
      <c r="G10" s="2">
        <v>31.609209999999997</v>
      </c>
      <c r="H10" s="11">
        <f t="shared" si="0"/>
        <v>68.865403469431868</v>
      </c>
      <c r="I10" s="5">
        <v>7.577</v>
      </c>
      <c r="J10" s="5">
        <v>0</v>
      </c>
      <c r="K10" s="5">
        <v>7.577</v>
      </c>
      <c r="L10" s="5">
        <v>1.7448599999999999</v>
      </c>
      <c r="M10" s="5">
        <v>7.3099999999999997E-3</v>
      </c>
      <c r="N10" s="5">
        <v>0</v>
      </c>
      <c r="O10" s="5">
        <v>1.7521699999999998</v>
      </c>
      <c r="P10" s="5">
        <v>2.9379</v>
      </c>
      <c r="Q10" s="11">
        <f t="shared" si="1"/>
        <v>59.640219204193471</v>
      </c>
    </row>
    <row r="11" spans="1:17" x14ac:dyDescent="0.3">
      <c r="A11" s="9">
        <v>43344</v>
      </c>
      <c r="B11" s="3">
        <v>223</v>
      </c>
      <c r="C11" s="3">
        <v>363.43</v>
      </c>
      <c r="D11" s="3">
        <v>181.05</v>
      </c>
      <c r="E11" s="3">
        <v>15855</v>
      </c>
      <c r="F11" s="3">
        <v>22.424954000000003</v>
      </c>
      <c r="G11" s="3">
        <v>33.675857999999998</v>
      </c>
      <c r="H11" s="11">
        <f t="shared" si="0"/>
        <v>66.590594365851061</v>
      </c>
      <c r="I11" s="6">
        <v>8.89</v>
      </c>
      <c r="J11" s="6">
        <v>0</v>
      </c>
      <c r="K11" s="6">
        <v>8.89</v>
      </c>
      <c r="L11" s="6">
        <v>1.8132220999999999</v>
      </c>
      <c r="M11" s="6">
        <v>5.4545000000000001E-3</v>
      </c>
      <c r="N11" s="6">
        <v>0</v>
      </c>
      <c r="O11" s="6">
        <v>1.8186766000000001</v>
      </c>
      <c r="P11" s="6">
        <v>3.1184767</v>
      </c>
      <c r="Q11" s="11">
        <f t="shared" si="1"/>
        <v>58.319390361326093</v>
      </c>
    </row>
    <row r="12" spans="1:17" x14ac:dyDescent="0.3">
      <c r="A12" s="8">
        <v>43374</v>
      </c>
      <c r="B12" s="2">
        <v>257</v>
      </c>
      <c r="C12" s="2">
        <v>402.75</v>
      </c>
      <c r="D12" s="2">
        <v>174.7</v>
      </c>
      <c r="E12" s="2">
        <v>15386</v>
      </c>
      <c r="F12" s="2">
        <v>18.62576</v>
      </c>
      <c r="G12" s="2">
        <v>32.494009999999996</v>
      </c>
      <c r="H12" s="11">
        <f t="shared" si="0"/>
        <v>57.320595395889896</v>
      </c>
      <c r="I12" s="5">
        <v>47.14</v>
      </c>
      <c r="J12" s="5">
        <v>4.7E-2</v>
      </c>
      <c r="K12" s="5">
        <v>47.186999999999998</v>
      </c>
      <c r="L12" s="5">
        <v>1.75935</v>
      </c>
      <c r="M12" s="5">
        <v>1.3820000000000001E-2</v>
      </c>
      <c r="N12" s="5">
        <v>4.6999999999999997E-8</v>
      </c>
      <c r="O12" s="5">
        <v>1.7731700469999998</v>
      </c>
      <c r="P12" s="5">
        <v>3.7373499999999997</v>
      </c>
      <c r="Q12" s="11">
        <f t="shared" si="1"/>
        <v>47.444580973149428</v>
      </c>
    </row>
    <row r="13" spans="1:17" x14ac:dyDescent="0.3">
      <c r="A13" s="9">
        <v>43405</v>
      </c>
      <c r="B13" s="3">
        <v>292</v>
      </c>
      <c r="C13" s="3">
        <v>431.82</v>
      </c>
      <c r="D13" s="3">
        <v>199.11199999999999</v>
      </c>
      <c r="E13" s="3">
        <v>17038</v>
      </c>
      <c r="F13" s="3">
        <v>22.344562000000003</v>
      </c>
      <c r="G13" s="3">
        <v>37.034832000000002</v>
      </c>
      <c r="H13" s="11">
        <f t="shared" si="0"/>
        <v>60.333909439632407</v>
      </c>
      <c r="I13" s="6">
        <v>53.253</v>
      </c>
      <c r="J13" s="6">
        <v>5.0000000000000001E-3</v>
      </c>
      <c r="K13" s="6">
        <v>53.258000000000003</v>
      </c>
      <c r="L13" s="6">
        <v>1.8064</v>
      </c>
      <c r="M13" s="6">
        <v>1.1259999999999999E-2</v>
      </c>
      <c r="N13" s="6">
        <v>9.9999999999999986E-10</v>
      </c>
      <c r="O13" s="6">
        <v>1.8176600010000001</v>
      </c>
      <c r="P13" s="6">
        <v>3.5672199999999998</v>
      </c>
      <c r="Q13" s="11">
        <f t="shared" si="1"/>
        <v>50.954524840071549</v>
      </c>
    </row>
    <row r="14" spans="1:17" x14ac:dyDescent="0.3">
      <c r="A14" s="8">
        <v>43435</v>
      </c>
      <c r="B14" s="2">
        <v>300</v>
      </c>
      <c r="C14" s="2">
        <v>446.48</v>
      </c>
      <c r="D14" s="2">
        <v>208.02</v>
      </c>
      <c r="E14" s="2">
        <v>19040</v>
      </c>
      <c r="F14" s="2">
        <v>25.437000000000001</v>
      </c>
      <c r="G14" s="2">
        <v>38.692</v>
      </c>
      <c r="H14" s="11">
        <f t="shared" si="0"/>
        <v>65.742272304352326</v>
      </c>
      <c r="I14" s="5">
        <v>63.139000000000003</v>
      </c>
      <c r="J14" s="5">
        <v>0.02</v>
      </c>
      <c r="K14" s="5">
        <v>63.159000000000006</v>
      </c>
      <c r="L14" s="5">
        <v>2.1504299999999996</v>
      </c>
      <c r="M14" s="5">
        <v>1.3519999999999999E-2</v>
      </c>
      <c r="N14" s="5">
        <v>1.9999999999999999E-6</v>
      </c>
      <c r="O14" s="5">
        <v>2.1639519999999997</v>
      </c>
      <c r="P14" s="5">
        <v>3.70906</v>
      </c>
      <c r="Q14" s="11">
        <f t="shared" si="1"/>
        <v>58.342329323332585</v>
      </c>
    </row>
    <row r="15" spans="1:17" x14ac:dyDescent="0.3">
      <c r="A15" s="9">
        <v>43466</v>
      </c>
      <c r="B15" s="3">
        <v>294</v>
      </c>
      <c r="C15" s="3">
        <v>440.57</v>
      </c>
      <c r="D15" s="3">
        <v>204.16</v>
      </c>
      <c r="E15" s="3">
        <v>18115</v>
      </c>
      <c r="F15" s="3">
        <v>24.981000000000002</v>
      </c>
      <c r="G15" s="3">
        <v>37.973999999999997</v>
      </c>
      <c r="H15" s="11">
        <f t="shared" si="0"/>
        <v>65.784484120714183</v>
      </c>
      <c r="I15" s="6">
        <v>48.56</v>
      </c>
      <c r="J15" s="6">
        <v>0</v>
      </c>
      <c r="K15" s="6">
        <v>48.56</v>
      </c>
      <c r="L15" s="6">
        <v>2.0836700000000001</v>
      </c>
      <c r="M15" s="6">
        <v>7.92E-3</v>
      </c>
      <c r="N15" s="6">
        <v>0</v>
      </c>
      <c r="O15" s="6">
        <v>2.0915900000000001</v>
      </c>
      <c r="P15" s="6">
        <v>3.7489400000000002</v>
      </c>
      <c r="Q15" s="11">
        <f t="shared" si="1"/>
        <v>55.791503731721505</v>
      </c>
    </row>
    <row r="16" spans="1:17" x14ac:dyDescent="0.3">
      <c r="A16" s="8">
        <v>43497</v>
      </c>
      <c r="B16" s="2">
        <v>256</v>
      </c>
      <c r="C16" s="2">
        <v>380.87</v>
      </c>
      <c r="D16" s="2">
        <v>173.76</v>
      </c>
      <c r="E16" s="2">
        <v>14354</v>
      </c>
      <c r="F16" s="2">
        <v>20.106000000000002</v>
      </c>
      <c r="G16" s="2">
        <v>32.319000000000003</v>
      </c>
      <c r="H16" s="11">
        <f t="shared" si="0"/>
        <v>62.211083263714841</v>
      </c>
      <c r="I16" s="5">
        <v>63.841000000000001</v>
      </c>
      <c r="J16" s="5">
        <v>0</v>
      </c>
      <c r="K16" s="5">
        <v>63.841000000000001</v>
      </c>
      <c r="L16" s="5">
        <v>1.6661199999999998</v>
      </c>
      <c r="M16" s="5">
        <v>8.6700000000000006E-3</v>
      </c>
      <c r="N16" s="5">
        <v>0</v>
      </c>
      <c r="O16" s="5">
        <v>1.67479</v>
      </c>
      <c r="P16" s="5">
        <v>3.2112699999999998</v>
      </c>
      <c r="Q16" s="11">
        <f t="shared" si="1"/>
        <v>52.153509359225481</v>
      </c>
    </row>
    <row r="17" spans="1:17" x14ac:dyDescent="0.3">
      <c r="A17" s="9">
        <v>43525</v>
      </c>
      <c r="B17" s="3">
        <v>277</v>
      </c>
      <c r="C17" s="3">
        <v>401.04</v>
      </c>
      <c r="D17" s="3">
        <v>188.33</v>
      </c>
      <c r="E17" s="3">
        <v>13074</v>
      </c>
      <c r="F17" s="3">
        <v>19.536999999999999</v>
      </c>
      <c r="G17" s="3">
        <v>35.03</v>
      </c>
      <c r="H17" s="11">
        <f t="shared" si="0"/>
        <v>55.772195261204679</v>
      </c>
      <c r="I17" s="6">
        <v>64.212999999999994</v>
      </c>
      <c r="J17" s="6">
        <v>0.10299999999999999</v>
      </c>
      <c r="K17" s="6">
        <v>64.315999999999988</v>
      </c>
      <c r="L17" s="6">
        <v>1.5907899999999999</v>
      </c>
      <c r="M17" s="6">
        <v>1.213E-2</v>
      </c>
      <c r="N17" s="6">
        <v>2.0000000000000001E-4</v>
      </c>
      <c r="O17" s="6">
        <v>1.6031200000000001</v>
      </c>
      <c r="P17" s="6">
        <v>3.3838200000000001</v>
      </c>
      <c r="Q17" s="11">
        <f t="shared" si="1"/>
        <v>47.376042460887405</v>
      </c>
    </row>
    <row r="18" spans="1:17" x14ac:dyDescent="0.3">
      <c r="A18" s="1" t="s">
        <v>19</v>
      </c>
      <c r="B18" s="4">
        <v>3092</v>
      </c>
      <c r="C18" s="4">
        <v>4765.74</v>
      </c>
      <c r="D18" s="4">
        <v>2227.3220000000001</v>
      </c>
      <c r="E18" s="4">
        <v>194080</v>
      </c>
      <c r="F18" s="4">
        <v>265.73710299999999</v>
      </c>
      <c r="G18" s="4">
        <v>414.28162600000002</v>
      </c>
      <c r="H18" s="12">
        <f t="shared" si="0"/>
        <v>64.144071646566331</v>
      </c>
      <c r="I18" s="7">
        <f t="shared" ref="I18:P18" si="2">SUM(I6:I17)</f>
        <v>434.53499999999997</v>
      </c>
      <c r="J18" s="7">
        <f t="shared" si="2"/>
        <v>0.20700000000000002</v>
      </c>
      <c r="K18" s="7">
        <f t="shared" si="2"/>
        <v>434.74200000000002</v>
      </c>
      <c r="L18" s="7">
        <f t="shared" si="2"/>
        <v>21.119583132999995</v>
      </c>
      <c r="M18" s="7">
        <f t="shared" si="2"/>
        <v>0.12200776799999999</v>
      </c>
      <c r="N18" s="7">
        <f t="shared" si="2"/>
        <v>6.6936600000000001E-4</v>
      </c>
      <c r="O18" s="7">
        <f t="shared" si="2"/>
        <v>21.241849667</v>
      </c>
      <c r="P18" s="7">
        <f t="shared" si="2"/>
        <v>38.793933605999996</v>
      </c>
      <c r="Q18" s="12">
        <f t="shared" si="1"/>
        <v>54.755596281462594</v>
      </c>
    </row>
    <row r="19" spans="1:17" x14ac:dyDescent="0.3">
      <c r="A19" s="15" t="s">
        <v>23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2020-06-09T07:53:14Z</cp:lastPrinted>
  <dcterms:created xsi:type="dcterms:W3CDTF">2018-10-29T04:00:07Z</dcterms:created>
  <dcterms:modified xsi:type="dcterms:W3CDTF">2020-06-09T07:53:24Z</dcterms:modified>
</cp:coreProperties>
</file>