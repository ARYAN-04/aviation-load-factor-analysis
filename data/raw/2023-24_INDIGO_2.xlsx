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INDIGO\"/>
    </mc:Choice>
  </mc:AlternateContent>
  <bookViews>
    <workbookView showHorizontalScroll="0" showVerticalScroll="0" xWindow="0" yWindow="0" windowWidth="24000" windowHeight="9735"/>
  </bookViews>
  <sheets>
    <sheet name="INDIGO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8" i="4" l="1"/>
  <c r="J18" i="4"/>
  <c r="Q16" i="4" l="1"/>
  <c r="Q15" i="4"/>
  <c r="Q14" i="4"/>
  <c r="Q13" i="4"/>
  <c r="Q12" i="4"/>
  <c r="Q11" i="4"/>
  <c r="Q10" i="4"/>
  <c r="Q9" i="4"/>
  <c r="Q8" i="4"/>
  <c r="Q7" i="4"/>
  <c r="Q6" i="4"/>
  <c r="H16" i="4"/>
  <c r="H15" i="4"/>
  <c r="H14" i="4"/>
  <c r="H13" i="4"/>
  <c r="H12" i="4"/>
  <c r="H11" i="4"/>
  <c r="H10" i="4"/>
  <c r="H9" i="4"/>
  <c r="H8" i="4"/>
  <c r="H7" i="4"/>
  <c r="H6" i="4"/>
  <c r="P18" i="4" l="1"/>
  <c r="O18" i="4"/>
  <c r="M18" i="4"/>
  <c r="L18" i="4"/>
  <c r="Q17" i="4" l="1"/>
  <c r="Q18" i="4"/>
  <c r="H17" i="4" l="1"/>
  <c r="F18" i="4" l="1"/>
  <c r="B18" i="4"/>
  <c r="N18" i="4"/>
  <c r="K18" i="4"/>
  <c r="G18" i="4"/>
  <c r="E18" i="4"/>
  <c r="D18" i="4"/>
  <c r="C18" i="4"/>
  <c r="H18" i="4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<sst xmlns="http://schemas.openxmlformats.org/spreadsheetml/2006/main" count="26" uniqueCount="24">
  <si>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</si>
  <si>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</si>
  <si>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</si>
  <si>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</si>
  <si>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</si>
  <si>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</si>
  <si>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</si>
  <si>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</si>
  <si>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</si>
  <si>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</si>
  <si>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</si>
  <si>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</si>
  <si>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</si>
  <si>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</si>
  <si>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</si>
  <si>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</si>
  <si>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</si>
  <si>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</si>
  <si>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</si>
  <si>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(इंडिगो) </t>
  </si>
  <si>
    <t>Table 1.02 (INDIGO)</t>
  </si>
  <si>
    <t>SOURCE:-  ICAO ATR FORM 'A' FURNISHED BY INDIGO</t>
  </si>
  <si>
    <t>MONTHLY TRAFFIC AND OPERATING STATISTICS OF INDIGO ON SCHEDULED INTERNATIONAL SERVICES DURING 2023-24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</si>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</sst>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7">
    <xf numFmtId="0" fontId="0" fillId="0" borderId="0" xfId="0"/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164" fontId="3" fillId="4" borderId="1" xfId="3" applyNumberFormat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4" fontId="6" fillId="4" borderId="1" xfId="3" applyNumberFormat="1" applyFont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4" fontId="5" fillId="0" borderId="2" xfId="1" applyNumberFormat="1" applyFont="1" applyFill="1" applyBorder="1" applyAlignment="1">
      <alignment horizontal="right" vertical="center"/>
    </xf>
    <xf numFmtId="164" fontId="5" fillId="0" borderId="3" xfId="1" applyNumberFormat="1" applyFont="1" applyFill="1" applyBorder="1" applyAlignment="1">
      <alignment horizontal="right" vertical="center"/>
    </xf>
    <xf numFmtId="166" fontId="0" fillId="0" borderId="0" xfId="0" applyNumberFormat="1" applyFont="1" applyBorder="1"/>
    <xf numFmtId="166" fontId="0" fillId="5" borderId="1" xfId="0" applyNumberFormat="1" applyFont="1" applyFill="1" applyBorder="1"/>
    <xf numFmtId="165" fontId="5" fillId="5" borderId="1" xfId="1" applyNumberFormat="1" applyFont="1" applyFill="1" applyBorder="1" applyAlignment="1">
      <alignment horizontal="right" vertical="center"/>
    </xf>
    <xf numFmtId="165" fontId="3" fillId="6" borderId="1" xfId="3" applyNumberFormat="1" applyFill="1" applyBorder="1" applyAlignment="1">
      <alignment horizontal="right" vertical="center"/>
    </xf>
    <xf numFmtId="165" fontId="6" fillId="4" borderId="1" xfId="3" applyNumberFormat="1" applyFont="1" applyBorder="1" applyAlignment="1">
      <alignment horizontal="right" vertical="center"/>
    </xf>
    <xf numFmtId="167" fontId="3" fillId="4" borderId="1" xfId="3" applyNumberFormat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/>
    </xf>
    <xf numFmtId="167" fontId="6" fillId="4" borderId="1" xfId="3" applyNumberFormat="1" applyFont="1" applyBorder="1" applyAlignment="1" applyProtection="1">
      <alignment horizontal="center" vertical="center" wrapText="1"/>
    </xf>
    <xf numFmtId="166" fontId="0" fillId="0" borderId="0" xfId="0" applyNumberFormat="1"/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4" zoomScale="115" zoomScaleNormal="100" zoomScaleSheetLayoutView="115" workbookViewId="0">
      <selection activeCell="E5" sqref="E5"/>
    </sheetView>
  </sheetViews>
  <sheetFormatPr defaultRowHeight="15" x14ac:dyDescent="0.25"/>
  <cols>
    <col min="1" max="1" width="15.7109375" customWidth="1"/>
    <col min="2" max="2" width="8.5703125" customWidth="1"/>
    <col min="3" max="3" width="9.42578125" customWidth="1"/>
    <col min="4" max="4" width="9.28515625" customWidth="1"/>
    <col min="5" max="5" width="12" customWidth="1"/>
    <col min="6" max="7" width="10" customWidth="1"/>
    <col min="8" max="8" width="8.42578125" customWidth="1"/>
    <col min="9" max="9" width="9.85546875" customWidth="1"/>
    <col min="10" max="10" width="9.7109375" customWidth="1"/>
    <col min="11" max="11" width="9.85546875" customWidth="1"/>
    <col min="12" max="12" width="11.7109375" customWidth="1"/>
    <col min="13" max="13" width="9.28515625" customWidth="1"/>
    <col min="14" max="14" width="9.42578125" customWidth="1"/>
    <col min="15" max="15" width="11.42578125" customWidth="1"/>
    <col min="16" max="16" width="10.42578125" customWidth="1"/>
    <col min="17" max="17" width="9.28515625" customWidth="1"/>
  </cols>
  <sheetData>
    <row r="1" spans="1:17" ht="15" customHeight="1" x14ac:dyDescent="0.25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5" customHeight="1" x14ac:dyDescent="0.25">
      <c r="A2" s="23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5" customHeight="1" x14ac:dyDescent="0.25">
      <c r="A3" s="25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30.6" customHeight="1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9" t="s">
        <v>3</v>
      </c>
      <c r="H4" s="19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9" t="s">
        <v>7</v>
      </c>
      <c r="Q4" s="19" t="s">
        <v>8</v>
      </c>
    </row>
    <row r="5" spans="1:17" ht="101.25" customHeight="1" x14ac:dyDescent="0.25">
      <c r="A5" s="25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20"/>
      <c r="H5" s="20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20"/>
      <c r="Q5" s="20"/>
    </row>
    <row r="6" spans="1:17" x14ac:dyDescent="0.25">
      <c r="A6" s="15">
        <v>45017</v>
      </c>
      <c r="B6" s="3">
        <v>5172</v>
      </c>
      <c r="C6" s="3">
        <v>19164.650000000001</v>
      </c>
      <c r="D6" s="3">
        <v>12784.05</v>
      </c>
      <c r="E6" s="3">
        <v>809996</v>
      </c>
      <c r="F6" s="3">
        <v>2017.3140000000001</v>
      </c>
      <c r="G6" s="3">
        <v>2475.1390000000001</v>
      </c>
      <c r="H6" s="4">
        <f t="shared" ref="H6:H16" si="0">F6/G6*100</f>
        <v>81.503059020119679</v>
      </c>
      <c r="I6" s="4">
        <v>3095.7629999999999</v>
      </c>
      <c r="J6" s="4">
        <v>0</v>
      </c>
      <c r="K6" s="4">
        <v>3095.7629999999999</v>
      </c>
      <c r="L6" s="4">
        <v>179.08539999999999</v>
      </c>
      <c r="M6" s="4">
        <v>8.4645700000000001</v>
      </c>
      <c r="N6" s="4">
        <v>0</v>
      </c>
      <c r="O6" s="4">
        <v>187.54997</v>
      </c>
      <c r="P6" s="4">
        <v>271.60929999999996</v>
      </c>
      <c r="Q6" s="4">
        <f t="shared" ref="Q6:Q16" si="1">O6/P6*100</f>
        <v>69.051380052155807</v>
      </c>
    </row>
    <row r="7" spans="1:17" x14ac:dyDescent="0.25">
      <c r="A7" s="16">
        <v>45047</v>
      </c>
      <c r="B7" s="1">
        <v>5445</v>
      </c>
      <c r="C7" s="1">
        <v>19957.7</v>
      </c>
      <c r="D7" s="9">
        <v>13420.3</v>
      </c>
      <c r="E7" s="1">
        <v>931855</v>
      </c>
      <c r="F7" s="1">
        <v>2324.7469999999998</v>
      </c>
      <c r="G7" s="1">
        <v>2696.15</v>
      </c>
      <c r="H7" s="2">
        <f t="shared" si="0"/>
        <v>86.224690762754292</v>
      </c>
      <c r="I7" s="2">
        <v>3606.0940000000001</v>
      </c>
      <c r="J7" s="2">
        <v>6.8949999999999996</v>
      </c>
      <c r="K7" s="2">
        <v>3612.989</v>
      </c>
      <c r="L7" s="2">
        <v>207.93306909999998</v>
      </c>
      <c r="M7" s="2">
        <v>6.4170039999999995</v>
      </c>
      <c r="N7" s="2">
        <v>1.4038E-2</v>
      </c>
      <c r="O7" s="2">
        <v>214.36411109999997</v>
      </c>
      <c r="P7" s="2">
        <v>285.58324599999997</v>
      </c>
      <c r="Q7" s="2">
        <f t="shared" si="1"/>
        <v>75.061865183786026</v>
      </c>
    </row>
    <row r="8" spans="1:17" x14ac:dyDescent="0.25">
      <c r="A8" s="15">
        <v>45078</v>
      </c>
      <c r="B8" s="3">
        <v>5497</v>
      </c>
      <c r="C8" s="3">
        <v>20353.849999999999</v>
      </c>
      <c r="D8" s="11">
        <v>13758.034</v>
      </c>
      <c r="E8" s="3">
        <v>945202</v>
      </c>
      <c r="F8" s="3">
        <v>2407.6329999999998</v>
      </c>
      <c r="G8" s="3">
        <v>2816.2750000000001</v>
      </c>
      <c r="H8" s="4">
        <f t="shared" si="0"/>
        <v>85.489982334821704</v>
      </c>
      <c r="I8" s="4">
        <v>3367.8710000000001</v>
      </c>
      <c r="J8" s="4">
        <v>6.4770000000000003</v>
      </c>
      <c r="K8" s="4">
        <v>3374.348</v>
      </c>
      <c r="L8" s="4">
        <v>216.68649400000001</v>
      </c>
      <c r="M8" s="4">
        <v>9.4607900000000011</v>
      </c>
      <c r="N8" s="4">
        <v>1.5332E-2</v>
      </c>
      <c r="O8" s="4">
        <v>226.16261600000001</v>
      </c>
      <c r="P8" s="4">
        <v>290.77734600000002</v>
      </c>
      <c r="Q8" s="4">
        <f t="shared" si="1"/>
        <v>77.778623098100624</v>
      </c>
    </row>
    <row r="9" spans="1:17" x14ac:dyDescent="0.25">
      <c r="A9" s="16">
        <v>45108</v>
      </c>
      <c r="B9" s="1">
        <v>5828</v>
      </c>
      <c r="C9" s="1">
        <v>21706.516666666666</v>
      </c>
      <c r="D9" s="10">
        <v>14693.313</v>
      </c>
      <c r="E9" s="1">
        <v>991209</v>
      </c>
      <c r="F9" s="1">
        <v>2546.8739999999998</v>
      </c>
      <c r="G9" s="1">
        <v>3034.17</v>
      </c>
      <c r="H9" s="2">
        <f t="shared" si="0"/>
        <v>83.939726514994206</v>
      </c>
      <c r="I9" s="2">
        <v>3159.105</v>
      </c>
      <c r="J9" s="2">
        <v>7.8310000000000004</v>
      </c>
      <c r="K9" s="13">
        <v>3166.9360000000001</v>
      </c>
      <c r="L9" s="2">
        <v>229.21824716999998</v>
      </c>
      <c r="M9" s="2">
        <v>9.1829269999999994</v>
      </c>
      <c r="N9" s="2">
        <v>1.8374999999999999E-2</v>
      </c>
      <c r="O9" s="13">
        <v>238.41954916999998</v>
      </c>
      <c r="P9" s="2">
        <v>310.73894149</v>
      </c>
      <c r="Q9" s="13">
        <f t="shared" si="1"/>
        <v>76.726640062160556</v>
      </c>
    </row>
    <row r="10" spans="1:17" x14ac:dyDescent="0.25">
      <c r="A10" s="15">
        <v>45139</v>
      </c>
      <c r="B10" s="3">
        <v>6116</v>
      </c>
      <c r="C10" s="3">
        <v>23072.966666666667</v>
      </c>
      <c r="D10" s="11">
        <v>15655.561</v>
      </c>
      <c r="E10" s="3">
        <v>991173</v>
      </c>
      <c r="F10" s="3">
        <v>2594.3029999999999</v>
      </c>
      <c r="G10" s="3">
        <v>3199.0909999999999</v>
      </c>
      <c r="H10" s="4">
        <f t="shared" si="0"/>
        <v>81.095004799800947</v>
      </c>
      <c r="I10" s="4">
        <v>3405.105</v>
      </c>
      <c r="J10" s="4">
        <v>12.208</v>
      </c>
      <c r="K10" s="4">
        <v>3417.3130000000001</v>
      </c>
      <c r="L10" s="4">
        <v>233.48709700000001</v>
      </c>
      <c r="M10" s="4">
        <v>9.4433799999999994</v>
      </c>
      <c r="N10" s="4">
        <v>3.1100000000000003E-2</v>
      </c>
      <c r="O10" s="4">
        <v>242.96157700000001</v>
      </c>
      <c r="P10" s="4">
        <v>329.82987099999997</v>
      </c>
      <c r="Q10" s="4">
        <f t="shared" si="1"/>
        <v>73.662696548184996</v>
      </c>
    </row>
    <row r="11" spans="1:17" x14ac:dyDescent="0.25">
      <c r="A11" s="16">
        <v>45170</v>
      </c>
      <c r="B11" s="1">
        <v>5916</v>
      </c>
      <c r="C11" s="1">
        <v>22420.033333333333</v>
      </c>
      <c r="D11" s="10">
        <v>15109.861000000001</v>
      </c>
      <c r="E11" s="1">
        <v>942018</v>
      </c>
      <c r="F11" s="1">
        <v>2435.9470000000001</v>
      </c>
      <c r="G11" s="1">
        <v>3096.337</v>
      </c>
      <c r="H11" s="2">
        <f t="shared" si="0"/>
        <v>78.671895210372782</v>
      </c>
      <c r="I11" s="2">
        <v>3155.6260000000002</v>
      </c>
      <c r="J11" s="2">
        <v>11.006</v>
      </c>
      <c r="K11" s="13">
        <v>3166.6320000000001</v>
      </c>
      <c r="L11" s="2">
        <v>219.23473139999999</v>
      </c>
      <c r="M11" s="2">
        <v>9.0766479999999987</v>
      </c>
      <c r="N11" s="2">
        <v>2.8149999999999998E-2</v>
      </c>
      <c r="O11" s="13">
        <v>228.33952939999998</v>
      </c>
      <c r="P11" s="2">
        <v>317.84300349</v>
      </c>
      <c r="Q11" s="13">
        <f t="shared" si="1"/>
        <v>71.840351020085933</v>
      </c>
    </row>
    <row r="12" spans="1:17" x14ac:dyDescent="0.25">
      <c r="A12" s="15">
        <v>45200</v>
      </c>
      <c r="B12" s="3">
        <v>6017</v>
      </c>
      <c r="C12" s="3">
        <v>94505.5</v>
      </c>
      <c r="D12" s="11">
        <v>15341.665999999999</v>
      </c>
      <c r="E12" s="3">
        <v>979883</v>
      </c>
      <c r="F12" s="3">
        <v>2526.1280000000002</v>
      </c>
      <c r="G12" s="3">
        <v>3169.415</v>
      </c>
      <c r="H12" s="4">
        <f t="shared" si="0"/>
        <v>79.703289092782114</v>
      </c>
      <c r="I12" s="4">
        <v>3710.55</v>
      </c>
      <c r="J12" s="4">
        <v>11.555</v>
      </c>
      <c r="K12" s="4">
        <v>3722.105</v>
      </c>
      <c r="L12" s="4">
        <v>227.35116200000002</v>
      </c>
      <c r="M12" s="4">
        <v>11.155976000000001</v>
      </c>
      <c r="N12" s="4">
        <v>2.9957000000000001E-2</v>
      </c>
      <c r="O12" s="4">
        <v>238.53709499999999</v>
      </c>
      <c r="P12" s="4">
        <v>323.66448213000001</v>
      </c>
      <c r="Q12" s="4">
        <f t="shared" si="1"/>
        <v>73.698878984253639</v>
      </c>
    </row>
    <row r="13" spans="1:17" x14ac:dyDescent="0.25">
      <c r="A13" s="16">
        <v>45231</v>
      </c>
      <c r="B13" s="1">
        <v>6180</v>
      </c>
      <c r="C13" s="1">
        <v>23793.65</v>
      </c>
      <c r="D13" s="10">
        <v>15778.056</v>
      </c>
      <c r="E13" s="1">
        <v>1045823</v>
      </c>
      <c r="F13" s="1">
        <v>2728.5720000000001</v>
      </c>
      <c r="G13" s="1">
        <v>3257.4029999999998</v>
      </c>
      <c r="H13" s="2">
        <f t="shared" si="0"/>
        <v>83.765257169591862</v>
      </c>
      <c r="I13" s="2">
        <v>3201.0990000000002</v>
      </c>
      <c r="J13" s="2">
        <v>10.207000000000001</v>
      </c>
      <c r="K13" s="13">
        <v>3211.306</v>
      </c>
      <c r="L13" s="2">
        <v>245.57138699999999</v>
      </c>
      <c r="M13" s="2">
        <v>9.0566029999999991</v>
      </c>
      <c r="N13" s="2">
        <v>2.6404E-2</v>
      </c>
      <c r="O13" s="13">
        <v>254.654394</v>
      </c>
      <c r="P13" s="2">
        <v>332.61818599999998</v>
      </c>
      <c r="Q13" s="13">
        <f t="shared" si="1"/>
        <v>76.560574472016398</v>
      </c>
    </row>
    <row r="14" spans="1:17" x14ac:dyDescent="0.25">
      <c r="A14" s="15">
        <v>45261</v>
      </c>
      <c r="B14" s="3">
        <v>6391</v>
      </c>
      <c r="C14" s="3">
        <v>24516.083333333332</v>
      </c>
      <c r="D14" s="11">
        <v>16339.448</v>
      </c>
      <c r="E14" s="3">
        <v>1123465</v>
      </c>
      <c r="F14" s="3">
        <v>2941.3240000000001</v>
      </c>
      <c r="G14" s="3">
        <v>3354.038</v>
      </c>
      <c r="H14" s="4">
        <f t="shared" si="0"/>
        <v>87.695011207386443</v>
      </c>
      <c r="I14" s="4">
        <v>3423.9450000000002</v>
      </c>
      <c r="J14" s="12">
        <v>9.7100000000000009</v>
      </c>
      <c r="K14" s="4">
        <v>3433.6550000000002</v>
      </c>
      <c r="L14" s="4">
        <v>264.71946399999996</v>
      </c>
      <c r="M14" s="4">
        <v>10.250890999999999</v>
      </c>
      <c r="N14" s="4">
        <v>2.5082999999999998E-2</v>
      </c>
      <c r="O14" s="4">
        <v>274.99543799999998</v>
      </c>
      <c r="P14" s="4">
        <v>341.74081100000001</v>
      </c>
      <c r="Q14" s="4">
        <f t="shared" si="1"/>
        <v>80.469007255911251</v>
      </c>
    </row>
    <row r="15" spans="1:17" x14ac:dyDescent="0.25">
      <c r="A15" s="16">
        <v>45292</v>
      </c>
      <c r="B15" s="1">
        <v>5963</v>
      </c>
      <c r="C15" s="1">
        <v>23099.35</v>
      </c>
      <c r="D15" s="8">
        <v>15282.28</v>
      </c>
      <c r="E15" s="1">
        <v>1036470</v>
      </c>
      <c r="F15" s="1">
        <v>2729.9740000000002</v>
      </c>
      <c r="G15" s="1">
        <v>3175.5680000000002</v>
      </c>
      <c r="H15" s="2">
        <f t="shared" si="0"/>
        <v>85.968053589153186</v>
      </c>
      <c r="I15" s="2">
        <v>3355.893</v>
      </c>
      <c r="J15" s="2">
        <v>10.647</v>
      </c>
      <c r="K15" s="13">
        <v>3366.54</v>
      </c>
      <c r="L15" s="2">
        <v>245.69722300000001</v>
      </c>
      <c r="M15" s="2">
        <v>10.272540999999999</v>
      </c>
      <c r="N15" s="2">
        <v>2.8495999999999997E-2</v>
      </c>
      <c r="O15" s="13">
        <v>255.99826000000002</v>
      </c>
      <c r="P15" s="2">
        <v>321.77786400000002</v>
      </c>
      <c r="Q15" s="13">
        <f t="shared" si="1"/>
        <v>79.557448985987421</v>
      </c>
    </row>
    <row r="16" spans="1:17" x14ac:dyDescent="0.25">
      <c r="A16" s="15">
        <v>45323</v>
      </c>
      <c r="B16" s="3">
        <v>5618</v>
      </c>
      <c r="C16" s="3">
        <v>21960.083333333332</v>
      </c>
      <c r="D16" s="3">
        <v>14307.147999999999</v>
      </c>
      <c r="E16" s="3">
        <v>966048</v>
      </c>
      <c r="F16" s="3">
        <v>2507.61</v>
      </c>
      <c r="G16" s="3">
        <v>2942.0239999999999</v>
      </c>
      <c r="H16" s="4">
        <f t="shared" si="0"/>
        <v>85.234178919002716</v>
      </c>
      <c r="I16" s="4">
        <v>3435.09</v>
      </c>
      <c r="J16" s="4">
        <v>9.9719999999999995</v>
      </c>
      <c r="K16" s="4">
        <v>3445.0620000000004</v>
      </c>
      <c r="L16" s="4">
        <v>225.68458699999999</v>
      </c>
      <c r="M16" s="4">
        <v>9.8991260000000008</v>
      </c>
      <c r="N16" s="4">
        <v>2.5257000000000002E-2</v>
      </c>
      <c r="O16" s="4">
        <v>235.60897</v>
      </c>
      <c r="P16" s="4">
        <v>302.05908699999998</v>
      </c>
      <c r="Q16" s="4">
        <f t="shared" si="1"/>
        <v>78.000954164308922</v>
      </c>
    </row>
    <row r="17" spans="1:17" x14ac:dyDescent="0.25">
      <c r="A17" s="16">
        <v>45352</v>
      </c>
      <c r="B17" s="1">
        <v>6216</v>
      </c>
      <c r="C17" s="1">
        <v>23874.283333333333</v>
      </c>
      <c r="D17" s="1">
        <v>15849.023999999999</v>
      </c>
      <c r="E17" s="1">
        <v>1011857</v>
      </c>
      <c r="F17" s="1">
        <v>2636.0889999999999</v>
      </c>
      <c r="G17" s="1">
        <v>3224.942</v>
      </c>
      <c r="H17" s="2">
        <f t="shared" ref="H17:H18" si="2">F17/G17*100</f>
        <v>81.740663863102043</v>
      </c>
      <c r="I17" s="2">
        <v>4163.2460000000001</v>
      </c>
      <c r="J17" s="18">
        <v>8.4459999999999997</v>
      </c>
      <c r="K17" s="13">
        <v>4171.692</v>
      </c>
      <c r="L17" s="2">
        <v>237.24915470000002</v>
      </c>
      <c r="M17" s="2">
        <v>11.935720999999999</v>
      </c>
      <c r="N17" s="2">
        <v>2.0593E-2</v>
      </c>
      <c r="O17" s="13">
        <v>249.20546870000001</v>
      </c>
      <c r="P17" s="2">
        <v>328.37791900000002</v>
      </c>
      <c r="Q17" s="13">
        <f t="shared" ref="Q17:Q18" si="3">O17/P17*100</f>
        <v>75.889837373626818</v>
      </c>
    </row>
    <row r="18" spans="1:17" x14ac:dyDescent="0.25">
      <c r="A18" s="17" t="s">
        <v>23</v>
      </c>
      <c r="B18" s="5">
        <f>SUM(B6:B17)</f>
        <v>70359</v>
      </c>
      <c r="C18" s="5">
        <f t="shared" ref="C18:N18" si="4">SUM(C6:C17)</f>
        <v>338424.66666666663</v>
      </c>
      <c r="D18" s="5">
        <f t="shared" si="4"/>
        <v>178318.74099999998</v>
      </c>
      <c r="E18" s="5">
        <f t="shared" si="4"/>
        <v>11774999</v>
      </c>
      <c r="F18" s="5">
        <f t="shared" si="4"/>
        <v>30396.514999999999</v>
      </c>
      <c r="G18" s="5">
        <f t="shared" si="4"/>
        <v>36440.552000000003</v>
      </c>
      <c r="H18" s="6">
        <f t="shared" si="2"/>
        <v>83.413980666374087</v>
      </c>
      <c r="I18" s="6">
        <f>SUM(I6:I17)</f>
        <v>41079.386999999988</v>
      </c>
      <c r="J18" s="6">
        <f t="shared" si="4"/>
        <v>104.95400000000001</v>
      </c>
      <c r="K18" s="6">
        <f t="shared" si="4"/>
        <v>41184.341</v>
      </c>
      <c r="L18" s="6">
        <f>SUM(L6:L17)</f>
        <v>2731.9180163699998</v>
      </c>
      <c r="M18" s="6">
        <f>SUM(M6:M17)</f>
        <v>114.61617699999999</v>
      </c>
      <c r="N18" s="6">
        <f t="shared" si="4"/>
        <v>0.26278499999999999</v>
      </c>
      <c r="O18" s="14">
        <f>SUM(O6:O17)</f>
        <v>2846.79697837</v>
      </c>
      <c r="P18" s="6">
        <f>SUM(P6:P17)</f>
        <v>3756.6200571100003</v>
      </c>
      <c r="Q18" s="14">
        <f t="shared" si="3"/>
        <v>75.780806551942476</v>
      </c>
    </row>
    <row r="19" spans="1:17" ht="15" customHeight="1" x14ac:dyDescent="0.25">
      <c r="A19" s="21" t="s">
        <v>21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5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2022-04-26T05:39:08Z</cp:lastPrinted>
  <dcterms:created xsi:type="dcterms:W3CDTF">2018-10-29T04:00:09Z</dcterms:created>
  <dcterms:modified xsi:type="dcterms:W3CDTF">2025-01-24T09:25:34Z</dcterms:modified>
</cp:coreProperties>
</file>