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Yearly Report (2018-19)\Domestic final 22.5.2020\EXCELs\VISTARA\"/>
    </mc:Choice>
  </mc:AlternateContent>
  <bookViews>
    <workbookView xWindow="-120" yWindow="-120" windowWidth="20736" windowHeight="11160"/>
  </bookViews>
  <sheets>
    <sheet name="VISTARA" sheetId="16" r:id="rId1"/>
  </sheets>
  <calcPr calcId="191029" iterateDelta="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6" l="1"/>
  <c r="Q8" i="16"/>
  <c r="Q9" i="16"/>
  <c r="Q10" i="16"/>
  <c r="Q11" i="16"/>
  <c r="Q12" i="16"/>
  <c r="Q13" i="16"/>
  <c r="Q14" i="16"/>
  <c r="Q15" i="16"/>
  <c r="Q16" i="16"/>
  <c r="Q17" i="16"/>
  <c r="Q18" i="16"/>
  <c r="Q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6" i="16"/>
  <c r="I18" i="16" l="1"/>
  <c r="C18" i="16"/>
  <c r="B18" i="16"/>
  <c r="P18" i="16"/>
  <c r="O18" i="16"/>
  <c r="N18" i="16"/>
  <c r="M18" i="16"/>
  <c r="L18" i="16"/>
  <c r="K18" i="16"/>
  <c r="J18" i="16"/>
  <c r="G18" i="16"/>
  <c r="F18" i="16"/>
  <c r="E18" i="16"/>
  <c r="D18" i="1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<sst xmlns="http://schemas.openxmlformats.org/spreadsheetml/2006/main" count="26" uniqueCount="24">
  <si>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</si>
  <si>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</si>
  <si>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</si>
  <si>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</si>
  <si>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</si>
  <si>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</si>
  <si>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</si>
  <si>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</si>
  <si>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</si>
  <si>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</si>
  <si>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</si>
  <si>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</si>
  <si>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</si>
  <si>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</si>
  <si>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</si>
  <si>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</si>
  <si>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</si>
  <si>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</si>
  <si>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</si>
  <si>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2018-19</t>
  </si>
  <si>
    <t xml:space="preserve">तालिका 1.01 (विस्तारा) </t>
  </si>
  <si>
    <t>Table 1.01 (VISTARA)</t>
  </si>
  <si>
    <t>MONTHLY TRAFFIC AND OPERATING STATISTICS OF VISTARA ON SCHEDULED DOMESTIC SERVICES DURING 2018-19</t>
  </si>
  <si>
    <t>SOURCE:-  ICAO ATR FORM 'A' FURNISHED BY VISTARA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</si>
</sst>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4">
    <xf numFmtId="0" fontId="0" fillId="0" borderId="0" xfId="0"/>
    <xf numFmtId="0" fontId="4" fillId="5" borderId="1" xfId="4" applyFont="1" applyBorder="1" applyAlignment="1" applyProtection="1">
      <alignment horizontal="center" vertical="center" wrapText="1"/>
    </xf>
    <xf numFmtId="164" fontId="3" fillId="5" borderId="1" xfId="4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5" borderId="1" xfId="4" applyNumberFormat="1" applyFont="1" applyBorder="1" applyAlignment="1" applyProtection="1">
      <alignment horizontal="right" vertical="center" wrapText="1"/>
    </xf>
    <xf numFmtId="165" fontId="3" fillId="5" borderId="1" xfId="4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5" borderId="1" xfId="4" applyNumberFormat="1" applyFont="1" applyBorder="1" applyAlignment="1" applyProtection="1">
      <alignment horizontal="right" vertical="center" wrapText="1"/>
    </xf>
    <xf numFmtId="17" fontId="3" fillId="5" borderId="1" xfId="4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167" fontId="3" fillId="4" borderId="1" xfId="3" applyNumberFormat="1" applyBorder="1" applyAlignment="1" applyProtection="1">
      <alignment horizontal="center" vertical="center" wrapText="1"/>
    </xf>
    <xf numFmtId="167" fontId="4" fillId="4" borderId="1" xfId="3" applyNumberFormat="1" applyFont="1" applyBorder="1" applyAlignment="1" applyProtection="1">
      <alignment horizontal="center" vertical="center" wrapText="1"/>
    </xf>
    <xf numFmtId="0" fontId="5" fillId="3" borderId="1" xfId="2" applyBorder="1" applyAlignment="1" applyProtection="1">
      <alignment horizontal="center" vertical="center" textRotation="90" wrapText="1"/>
    </xf>
    <xf numFmtId="0" fontId="5" fillId="3" borderId="1" xfId="2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0" fillId="5" borderId="1" xfId="4" applyFont="1" applyBorder="1" applyAlignment="1">
      <alignment horizontal="center" vertical="center" wrapText="1"/>
    </xf>
    <xf numFmtId="0" fontId="3" fillId="5" borderId="1" xfId="4" applyBorder="1" applyAlignment="1">
      <alignment horizontal="center" vertical="center" wrapText="1"/>
    </xf>
    <xf numFmtId="0" fontId="0" fillId="5" borderId="1" xfId="4" quotePrefix="1" applyFont="1" applyBorder="1" applyAlignment="1" applyProtection="1">
      <alignment horizontal="center" vertical="center" wrapText="1"/>
    </xf>
    <xf numFmtId="0" fontId="3" fillId="5" borderId="1" xfId="4" applyBorder="1"/>
    <xf numFmtId="0" fontId="5" fillId="3" borderId="1" xfId="2" applyBorder="1" applyAlignment="1" applyProtection="1">
      <alignment horizontal="center" vertical="center" wrapText="1"/>
    </xf>
    <xf numFmtId="0" fontId="5" fillId="3" borderId="1" xfId="2" applyBorder="1"/>
  </cellXfs>
  <cellStyles count="5">
    <cellStyle name="20% - Accent2" xfId="3" builtinId="34"/>
    <cellStyle name="40% - Accent2" xfId="4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tabSelected="1" workbookViewId="0">
      <selection activeCell="F21" sqref="F21"/>
    </sheetView>
  </sheetViews>
  <sheetFormatPr defaultRowHeight="14.4" x14ac:dyDescent="0.3"/>
  <cols>
    <col min="1" max="1" width="7.88671875" customWidth="1"/>
    <col min="2" max="2" width="7.33203125" customWidth="1"/>
    <col min="3" max="3" width="6.88671875" customWidth="1"/>
    <col min="4" max="4" width="7" customWidth="1"/>
    <col min="6" max="7" width="7.44140625" customWidth="1"/>
    <col min="8" max="8" width="6.6640625" customWidth="1"/>
    <col min="10" max="10" width="6" customWidth="1"/>
    <col min="12" max="12" width="6.5546875" customWidth="1"/>
    <col min="13" max="13" width="6.6640625" customWidth="1"/>
    <col min="14" max="14" width="6.33203125" customWidth="1"/>
    <col min="15" max="15" width="7.109375" customWidth="1"/>
    <col min="16" max="16" width="8.33203125" customWidth="1"/>
    <col min="17" max="17" width="6.88671875" customWidth="1"/>
  </cols>
  <sheetData>
    <row r="1" spans="1:17" x14ac:dyDescent="0.3">
      <c r="A1" s="18" t="s">
        <v>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3">
      <c r="A2" s="20" t="s">
        <v>21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3">
      <c r="A3" s="22" t="s">
        <v>22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28.8" customHeight="1" x14ac:dyDescent="0.3">
      <c r="A4" s="22" t="s">
        <v>0</v>
      </c>
      <c r="B4" s="22" t="s">
        <v>1</v>
      </c>
      <c r="C4" s="22"/>
      <c r="D4" s="22"/>
      <c r="E4" s="22" t="s">
        <v>2</v>
      </c>
      <c r="F4" s="23"/>
      <c r="G4" s="13" t="s">
        <v>3</v>
      </c>
      <c r="H4" s="13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3" t="s">
        <v>7</v>
      </c>
      <c r="Q4" s="13" t="s">
        <v>8</v>
      </c>
    </row>
    <row r="5" spans="1:17" ht="107.25" customHeight="1" x14ac:dyDescent="0.3">
      <c r="A5" s="22"/>
      <c r="B5" s="10" t="s">
        <v>9</v>
      </c>
      <c r="C5" s="10" t="s">
        <v>10</v>
      </c>
      <c r="D5" s="10" t="s">
        <v>11</v>
      </c>
      <c r="E5" s="10" t="s">
        <v>12</v>
      </c>
      <c r="F5" s="10" t="s">
        <v>13</v>
      </c>
      <c r="G5" s="14"/>
      <c r="H5" s="14"/>
      <c r="I5" s="10" t="s">
        <v>14</v>
      </c>
      <c r="J5" s="10" t="s">
        <v>15</v>
      </c>
      <c r="K5" s="10" t="s">
        <v>16</v>
      </c>
      <c r="L5" s="10" t="s">
        <v>17</v>
      </c>
      <c r="M5" s="10" t="s">
        <v>18</v>
      </c>
      <c r="N5" s="10" t="s">
        <v>15</v>
      </c>
      <c r="O5" s="10" t="s">
        <v>16</v>
      </c>
      <c r="P5" s="14"/>
      <c r="Q5" s="14"/>
    </row>
    <row r="6" spans="1:17" x14ac:dyDescent="0.3">
      <c r="A6" s="8">
        <v>43191</v>
      </c>
      <c r="B6" s="2">
        <v>3309</v>
      </c>
      <c r="C6" s="2">
        <v>5917.9</v>
      </c>
      <c r="D6" s="2">
        <v>3838</v>
      </c>
      <c r="E6" s="2">
        <v>462622</v>
      </c>
      <c r="F6" s="2">
        <v>538.29700000000003</v>
      </c>
      <c r="G6" s="2">
        <v>606.44899999999996</v>
      </c>
      <c r="H6" s="11">
        <f>F6/G6*100</f>
        <v>88.762121794248174</v>
      </c>
      <c r="I6" s="5">
        <v>4261.3190000000004</v>
      </c>
      <c r="J6" s="5">
        <v>0</v>
      </c>
      <c r="K6" s="5">
        <v>4261.3190000000004</v>
      </c>
      <c r="L6" s="5">
        <v>40.372</v>
      </c>
      <c r="M6" s="5">
        <v>5.5060000000000002</v>
      </c>
      <c r="N6" s="5">
        <v>0</v>
      </c>
      <c r="O6" s="5">
        <v>45.878</v>
      </c>
      <c r="P6" s="5">
        <v>57.573999999999998</v>
      </c>
      <c r="Q6" s="11">
        <f>O6/P6*100</f>
        <v>79.685274603119467</v>
      </c>
    </row>
    <row r="7" spans="1:17" x14ac:dyDescent="0.3">
      <c r="A7" s="9">
        <v>43221</v>
      </c>
      <c r="B7" s="3">
        <v>3491</v>
      </c>
      <c r="C7" s="3">
        <v>6327.5</v>
      </c>
      <c r="D7" s="3">
        <v>4097.8999999999996</v>
      </c>
      <c r="E7" s="3">
        <v>471499</v>
      </c>
      <c r="F7" s="3">
        <v>554.96680000000003</v>
      </c>
      <c r="G7" s="3">
        <v>647.46219999999994</v>
      </c>
      <c r="H7" s="11">
        <f t="shared" ref="H7:H18" si="0">F7/G7*100</f>
        <v>85.71416215494898</v>
      </c>
      <c r="I7" s="6">
        <v>5112.6000000000004</v>
      </c>
      <c r="J7" s="6">
        <v>0</v>
      </c>
      <c r="K7" s="6">
        <v>5112.6000000000004</v>
      </c>
      <c r="L7" s="6">
        <v>41.621699999999997</v>
      </c>
      <c r="M7" s="6">
        <v>6.6483999999999996</v>
      </c>
      <c r="N7" s="6">
        <v>0</v>
      </c>
      <c r="O7" s="6">
        <v>48.270099999999999</v>
      </c>
      <c r="P7" s="6">
        <v>61.460300000000004</v>
      </c>
      <c r="Q7" s="11">
        <f t="shared" ref="Q7:Q18" si="1">O7/P7*100</f>
        <v>78.538666423691382</v>
      </c>
    </row>
    <row r="8" spans="1:17" x14ac:dyDescent="0.3">
      <c r="A8" s="8">
        <v>43252</v>
      </c>
      <c r="B8" s="2">
        <v>3385</v>
      </c>
      <c r="C8" s="2">
        <v>6067.2</v>
      </c>
      <c r="D8" s="2">
        <v>3941.8</v>
      </c>
      <c r="E8" s="2">
        <v>452177</v>
      </c>
      <c r="F8" s="2">
        <v>528.32839999999999</v>
      </c>
      <c r="G8" s="2">
        <v>622.80060000000003</v>
      </c>
      <c r="H8" s="11">
        <f t="shared" si="0"/>
        <v>84.831067921257613</v>
      </c>
      <c r="I8" s="5">
        <v>5030</v>
      </c>
      <c r="J8" s="5">
        <v>0</v>
      </c>
      <c r="K8" s="5">
        <v>5030</v>
      </c>
      <c r="L8" s="5">
        <v>47.548999999999999</v>
      </c>
      <c r="M8" s="5">
        <v>6.5034000000000001</v>
      </c>
      <c r="N8" s="5">
        <v>0</v>
      </c>
      <c r="O8" s="5">
        <v>54.052399999999999</v>
      </c>
      <c r="P8" s="5">
        <v>67.7898</v>
      </c>
      <c r="Q8" s="11">
        <f t="shared" si="1"/>
        <v>79.735299410825817</v>
      </c>
    </row>
    <row r="9" spans="1:17" x14ac:dyDescent="0.3">
      <c r="A9" s="9">
        <v>43282</v>
      </c>
      <c r="B9" s="3">
        <v>3405</v>
      </c>
      <c r="C9" s="3">
        <v>6033.12</v>
      </c>
      <c r="D9" s="3">
        <v>3928.3</v>
      </c>
      <c r="E9" s="3">
        <v>451473</v>
      </c>
      <c r="F9" s="3">
        <v>522.03359999999998</v>
      </c>
      <c r="G9" s="3">
        <v>620.6751999999999</v>
      </c>
      <c r="H9" s="11">
        <f t="shared" si="0"/>
        <v>84.107372100576924</v>
      </c>
      <c r="I9" s="6">
        <v>4845.7</v>
      </c>
      <c r="J9" s="6">
        <v>0</v>
      </c>
      <c r="K9" s="6">
        <v>4845.7</v>
      </c>
      <c r="L9" s="6">
        <v>46.982999999999997</v>
      </c>
      <c r="M9" s="6">
        <v>6.2714999999999996</v>
      </c>
      <c r="N9" s="6">
        <v>0</v>
      </c>
      <c r="O9" s="6">
        <v>53.2545</v>
      </c>
      <c r="P9" s="6">
        <v>67.5672</v>
      </c>
      <c r="Q9" s="11">
        <f t="shared" si="1"/>
        <v>78.81708876496289</v>
      </c>
    </row>
    <row r="10" spans="1:17" x14ac:dyDescent="0.3">
      <c r="A10" s="8">
        <v>43313</v>
      </c>
      <c r="B10" s="2">
        <v>3321</v>
      </c>
      <c r="C10" s="2">
        <v>5831.97</v>
      </c>
      <c r="D10" s="2">
        <v>3835.42</v>
      </c>
      <c r="E10" s="2">
        <v>422985</v>
      </c>
      <c r="F10" s="2">
        <v>494.12266999999997</v>
      </c>
      <c r="G10" s="2">
        <v>605.99589000000003</v>
      </c>
      <c r="H10" s="11">
        <f t="shared" si="0"/>
        <v>81.538947401111912</v>
      </c>
      <c r="I10" s="5">
        <v>4636.2480999999998</v>
      </c>
      <c r="J10" s="5">
        <v>0</v>
      </c>
      <c r="K10" s="5">
        <v>4636.2480999999998</v>
      </c>
      <c r="L10" s="5">
        <v>44.471040000000002</v>
      </c>
      <c r="M10" s="5">
        <v>5.9776999999999996</v>
      </c>
      <c r="N10" s="5">
        <v>0</v>
      </c>
      <c r="O10" s="5">
        <v>50.448740000000001</v>
      </c>
      <c r="P10" s="5">
        <v>65.969169999999991</v>
      </c>
      <c r="Q10" s="11">
        <f t="shared" si="1"/>
        <v>76.47320710568286</v>
      </c>
    </row>
    <row r="11" spans="1:17" x14ac:dyDescent="0.3">
      <c r="A11" s="9">
        <v>43344</v>
      </c>
      <c r="B11" s="3">
        <v>3264</v>
      </c>
      <c r="C11" s="3">
        <v>5643.4</v>
      </c>
      <c r="D11" s="3">
        <v>3737.2579999999998</v>
      </c>
      <c r="E11" s="3">
        <v>436063</v>
      </c>
      <c r="F11" s="3">
        <v>502.36842300000001</v>
      </c>
      <c r="G11" s="3">
        <v>591.91497400000003</v>
      </c>
      <c r="H11" s="11">
        <f t="shared" si="0"/>
        <v>84.871720613035208</v>
      </c>
      <c r="I11" s="6">
        <v>4848.973</v>
      </c>
      <c r="J11" s="6">
        <v>0</v>
      </c>
      <c r="K11" s="6">
        <v>4848.973</v>
      </c>
      <c r="L11" s="6">
        <v>45.213158100000001</v>
      </c>
      <c r="M11" s="6">
        <v>6.2290754999999995</v>
      </c>
      <c r="N11" s="6">
        <v>0</v>
      </c>
      <c r="O11" s="6">
        <v>51.442233600000002</v>
      </c>
      <c r="P11" s="6">
        <v>64.280837599999998</v>
      </c>
      <c r="Q11" s="11">
        <f t="shared" si="1"/>
        <v>80.02732310382963</v>
      </c>
    </row>
    <row r="12" spans="1:17" x14ac:dyDescent="0.3">
      <c r="A12" s="8">
        <v>43374</v>
      </c>
      <c r="B12" s="2">
        <v>3470</v>
      </c>
      <c r="C12" s="2">
        <v>6022.57</v>
      </c>
      <c r="D12" s="2">
        <v>3994.627</v>
      </c>
      <c r="E12" s="2">
        <v>434761</v>
      </c>
      <c r="F12" s="2">
        <v>508.19489299999998</v>
      </c>
      <c r="G12" s="2">
        <v>637.48841599999992</v>
      </c>
      <c r="H12" s="11">
        <f t="shared" si="0"/>
        <v>79.718294520350952</v>
      </c>
      <c r="I12" s="5">
        <v>5081.1710000000003</v>
      </c>
      <c r="J12" s="5">
        <v>0</v>
      </c>
      <c r="K12" s="5">
        <v>5081.1710000000003</v>
      </c>
      <c r="L12" s="5">
        <v>45.737540000000003</v>
      </c>
      <c r="M12" s="5">
        <v>6.5348280000000001</v>
      </c>
      <c r="N12" s="5">
        <v>0</v>
      </c>
      <c r="O12" s="5">
        <v>52.272368</v>
      </c>
      <c r="P12" s="5">
        <v>68.707583999999997</v>
      </c>
      <c r="Q12" s="11">
        <f t="shared" si="1"/>
        <v>76.079473264552576</v>
      </c>
    </row>
    <row r="13" spans="1:17" x14ac:dyDescent="0.3">
      <c r="A13" s="9">
        <v>43405</v>
      </c>
      <c r="B13" s="3">
        <v>3342</v>
      </c>
      <c r="C13" s="3">
        <v>5866.38</v>
      </c>
      <c r="D13" s="3">
        <v>3862.6179999999999</v>
      </c>
      <c r="E13" s="3">
        <v>415432</v>
      </c>
      <c r="F13" s="3">
        <v>487.42734799999999</v>
      </c>
      <c r="G13" s="3">
        <v>621.21453199999996</v>
      </c>
      <c r="H13" s="11">
        <f t="shared" si="0"/>
        <v>78.463610056050655</v>
      </c>
      <c r="I13" s="6">
        <v>4199.0405000000001</v>
      </c>
      <c r="J13" s="6">
        <v>0</v>
      </c>
      <c r="K13" s="6">
        <v>4199.0405000000001</v>
      </c>
      <c r="L13" s="6">
        <v>43.868461000000003</v>
      </c>
      <c r="M13" s="6">
        <v>5.4258000000000006</v>
      </c>
      <c r="N13" s="6">
        <v>0</v>
      </c>
      <c r="O13" s="6">
        <v>49.294261000000006</v>
      </c>
      <c r="P13" s="6">
        <v>66.437029999999993</v>
      </c>
      <c r="Q13" s="11">
        <f t="shared" si="1"/>
        <v>74.196966661513926</v>
      </c>
    </row>
    <row r="14" spans="1:17" x14ac:dyDescent="0.3">
      <c r="A14" s="8">
        <v>43435</v>
      </c>
      <c r="B14" s="2">
        <v>3582</v>
      </c>
      <c r="C14" s="2">
        <v>6329.85</v>
      </c>
      <c r="D14" s="2">
        <v>4182.37</v>
      </c>
      <c r="E14" s="2">
        <v>478133</v>
      </c>
      <c r="F14" s="2">
        <v>563.77679000000001</v>
      </c>
      <c r="G14" s="2">
        <v>678.61703599999998</v>
      </c>
      <c r="H14" s="11">
        <f t="shared" si="0"/>
        <v>83.077311663599318</v>
      </c>
      <c r="I14" s="5">
        <v>4218.2668000000003</v>
      </c>
      <c r="J14" s="5">
        <v>0</v>
      </c>
      <c r="K14" s="5">
        <v>4218.2668000000003</v>
      </c>
      <c r="L14" s="5">
        <v>50.739910999999999</v>
      </c>
      <c r="M14" s="5">
        <v>5.4945849999999998</v>
      </c>
      <c r="N14" s="5">
        <v>0</v>
      </c>
      <c r="O14" s="5">
        <v>56.234496</v>
      </c>
      <c r="P14" s="5">
        <v>71.936763999999997</v>
      </c>
      <c r="Q14" s="11">
        <f t="shared" si="1"/>
        <v>78.172123505583329</v>
      </c>
    </row>
    <row r="15" spans="1:17" x14ac:dyDescent="0.3">
      <c r="A15" s="9">
        <v>43466</v>
      </c>
      <c r="B15" s="3">
        <v>3454</v>
      </c>
      <c r="C15" s="3">
        <v>6240.47</v>
      </c>
      <c r="D15" s="3">
        <v>4090.8539999999998</v>
      </c>
      <c r="E15" s="3">
        <v>470340</v>
      </c>
      <c r="F15" s="3">
        <v>560.32412999999997</v>
      </c>
      <c r="G15" s="3">
        <v>665.63056000000006</v>
      </c>
      <c r="H15" s="11">
        <f t="shared" si="0"/>
        <v>84.179447830640456</v>
      </c>
      <c r="I15" s="6">
        <v>3882.52</v>
      </c>
      <c r="J15" s="6">
        <v>0</v>
      </c>
      <c r="K15" s="6">
        <v>3882.52</v>
      </c>
      <c r="L15" s="6">
        <v>50.429172000000001</v>
      </c>
      <c r="M15" s="6">
        <v>5.1014650000000001</v>
      </c>
      <c r="N15" s="6">
        <v>0</v>
      </c>
      <c r="O15" s="6">
        <v>55.530637000000006</v>
      </c>
      <c r="P15" s="6">
        <v>70.362689000000003</v>
      </c>
      <c r="Q15" s="11">
        <f t="shared" si="1"/>
        <v>78.920572521041663</v>
      </c>
    </row>
    <row r="16" spans="1:17" x14ac:dyDescent="0.3">
      <c r="A16" s="8">
        <v>43497</v>
      </c>
      <c r="B16" s="2">
        <v>3137</v>
      </c>
      <c r="C16" s="2">
        <v>5634.2349999999997</v>
      </c>
      <c r="D16" s="2">
        <v>3661.567</v>
      </c>
      <c r="E16" s="2">
        <v>452362</v>
      </c>
      <c r="F16" s="2">
        <v>532.46373500000004</v>
      </c>
      <c r="G16" s="2">
        <v>597.49866199999997</v>
      </c>
      <c r="H16" s="11">
        <f t="shared" si="0"/>
        <v>89.11546901505865</v>
      </c>
      <c r="I16" s="5">
        <v>3465.2345</v>
      </c>
      <c r="J16" s="5">
        <v>0</v>
      </c>
      <c r="K16" s="5">
        <v>3465.2345</v>
      </c>
      <c r="L16" s="5">
        <v>47.921735999999996</v>
      </c>
      <c r="M16" s="5">
        <v>4.5402979999999999</v>
      </c>
      <c r="N16" s="5">
        <v>0</v>
      </c>
      <c r="O16" s="5">
        <v>52.462034000000003</v>
      </c>
      <c r="P16" s="5">
        <v>62.978952</v>
      </c>
      <c r="Q16" s="11">
        <f t="shared" si="1"/>
        <v>83.300900275380897</v>
      </c>
    </row>
    <row r="17" spans="1:17" x14ac:dyDescent="0.3">
      <c r="A17" s="9">
        <v>43525</v>
      </c>
      <c r="B17" s="3">
        <v>3485</v>
      </c>
      <c r="C17" s="3">
        <v>6104.63</v>
      </c>
      <c r="D17" s="3">
        <v>4081.152</v>
      </c>
      <c r="E17" s="3">
        <v>490428</v>
      </c>
      <c r="F17" s="3">
        <v>579.56769400000007</v>
      </c>
      <c r="G17" s="3">
        <v>667.76594399999999</v>
      </c>
      <c r="H17" s="11">
        <f t="shared" si="0"/>
        <v>86.792041314404031</v>
      </c>
      <c r="I17" s="6">
        <v>4122.4044999999996</v>
      </c>
      <c r="J17" s="6">
        <v>0</v>
      </c>
      <c r="K17" s="6">
        <v>4122.4044999999996</v>
      </c>
      <c r="L17" s="6">
        <v>52.161091999999996</v>
      </c>
      <c r="M17" s="6">
        <v>5.3945439999999998</v>
      </c>
      <c r="N17" s="6">
        <v>0</v>
      </c>
      <c r="O17" s="6">
        <v>57.555636</v>
      </c>
      <c r="P17" s="6">
        <v>70.195813999999999</v>
      </c>
      <c r="Q17" s="11">
        <f t="shared" si="1"/>
        <v>81.992974680797914</v>
      </c>
    </row>
    <row r="18" spans="1:17" x14ac:dyDescent="0.3">
      <c r="A18" s="1" t="s">
        <v>19</v>
      </c>
      <c r="B18" s="4">
        <f>SUM(B6:B17)</f>
        <v>40645</v>
      </c>
      <c r="C18" s="4">
        <f t="shared" ref="C18:G18" si="2">SUM(C6:C17)</f>
        <v>72019.224999999991</v>
      </c>
      <c r="D18" s="4">
        <f t="shared" si="2"/>
        <v>47251.866000000002</v>
      </c>
      <c r="E18" s="4">
        <f t="shared" si="2"/>
        <v>5438275</v>
      </c>
      <c r="F18" s="4">
        <f t="shared" si="2"/>
        <v>6371.8714829999999</v>
      </c>
      <c r="G18" s="4">
        <f t="shared" si="2"/>
        <v>7563.5130139999992</v>
      </c>
      <c r="H18" s="12">
        <f t="shared" si="0"/>
        <v>84.244867050611532</v>
      </c>
      <c r="I18" s="7">
        <f t="shared" ref="I18:P18" si="3">SUM(I6:I17)</f>
        <v>53703.477399999996</v>
      </c>
      <c r="J18" s="7">
        <f t="shared" si="3"/>
        <v>0</v>
      </c>
      <c r="K18" s="7">
        <f t="shared" si="3"/>
        <v>53703.477399999996</v>
      </c>
      <c r="L18" s="7">
        <f t="shared" si="3"/>
        <v>557.06781010000009</v>
      </c>
      <c r="M18" s="7">
        <f t="shared" si="3"/>
        <v>69.627595499999984</v>
      </c>
      <c r="N18" s="7">
        <f t="shared" si="3"/>
        <v>0</v>
      </c>
      <c r="O18" s="7">
        <f t="shared" si="3"/>
        <v>626.69540560000007</v>
      </c>
      <c r="P18" s="7">
        <f t="shared" si="3"/>
        <v>795.26014060000011</v>
      </c>
      <c r="Q18" s="12">
        <f t="shared" si="1"/>
        <v>78.803824510452273</v>
      </c>
    </row>
    <row r="19" spans="1:17" x14ac:dyDescent="0.3">
      <c r="A19" s="15" t="s">
        <v>23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2020-05-06T11:03:48Z</cp:lastPrinted>
  <dcterms:created xsi:type="dcterms:W3CDTF">2018-10-29T04:00:07Z</dcterms:created>
  <dcterms:modified xsi:type="dcterms:W3CDTF">2020-06-15T06:17:08Z</dcterms:modified>
</cp:coreProperties>
</file>