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BLUE DART\"/>
    </mc:Choice>
  </mc:AlternateContent>
  <bookViews>
    <workbookView xWindow="0" yWindow="0" windowWidth="24000" windowHeight="9435"/>
  </bookViews>
  <sheets>
    <sheet name="BLUEDAR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6" l="1"/>
  <c r="B18" i="6"/>
  <c r="C18" i="6"/>
  <c r="D18" i="6"/>
  <c r="E18" i="6"/>
  <c r="F18" i="6"/>
  <c r="G18" i="6"/>
  <c r="H18" i="6" l="1"/>
  <c r="P18" i="6" l="1"/>
  <c r="O18" i="6"/>
  <c r="N18" i="6"/>
  <c r="M18" i="6"/>
  <c r="L18" i="6"/>
  <c r="K18" i="6"/>
  <c r="J18" i="6"/>
  <c r="I18" i="6"/>
  <c r="Q18" i="6" l="1"/>
  <c r="Q7" i="6"/>
  <c r="Q8" i="6"/>
  <c r="Q9" i="6"/>
  <c r="Q10" i="6"/>
  <c r="Q11" i="6"/>
  <c r="Q12" i="6"/>
  <c r="Q13" i="6"/>
  <c r="Q14" i="6"/>
  <c r="Q15" i="6"/>
  <c r="Q16" i="6"/>
  <c r="Q6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<sst xmlns="http://schemas.openxmlformats.org/spreadsheetml/2006/main" count="26" uniqueCount="24">
  <si>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</si>
  <si>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</si>
  <si>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</si>
  <si>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</si>
  <si>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</si>
  <si>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</si>
  <si>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</si>
  <si>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</si>
  <si>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</si>
  <si>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</si>
  <si>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</si>
  <si>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</si>
  <si>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</si>
  <si>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</si>
  <si>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</si>
  <si>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</si>
  <si>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</si>
  <si>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</si>
  <si>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</si>
  <si>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(ब्लू डार्ट) </t>
  </si>
  <si>
    <t>Table 1.01 (BLUE DART)</t>
  </si>
  <si>
    <t>SOURCE:-  ICAO ATR FORM 'A' FURNISHED BY BLUE DART</t>
  </si>
  <si>
    <t>2024-25</t>
  </si>
  <si>
    <t>MONTHLY TRAFFIC AND OPERATING STATISTICS OF BLUE DART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</si>
</sst>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168" fontId="3" fillId="4" borderId="1" xfId="3" applyNumberFormat="1" applyFont="1" applyBorder="1" applyAlignment="1" applyProtection="1">
      <alignment horizontal="center" vertical="center" wrapText="1"/>
    </xf>
    <xf numFmtId="168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Normal="100" zoomScaleSheetLayoutView="100" workbookViewId="0">
      <selection activeCell="K14" sqref="K14"/>
    </sheetView>
  </sheetViews>
  <sheetFormatPr defaultRowHeight="15" x14ac:dyDescent="0.25"/>
  <cols>
    <col min="1" max="1" width="15.42578125" customWidth="1"/>
    <col min="2" max="2" width="8.42578125" customWidth="1"/>
    <col min="3" max="3" width="7.42578125" customWidth="1"/>
    <col min="4" max="4" width="8" customWidth="1"/>
    <col min="5" max="5" width="7" customWidth="1"/>
    <col min="6" max="6" width="7.140625" customWidth="1"/>
    <col min="7" max="7" width="8" customWidth="1"/>
    <col min="8" max="8" width="6.140625" customWidth="1"/>
    <col min="9" max="9" width="13.28515625" customWidth="1"/>
    <col min="10" max="10" width="6.85546875" customWidth="1"/>
    <col min="11" max="11" width="12.7109375" customWidth="1"/>
    <col min="12" max="12" width="7.5703125" customWidth="1"/>
    <col min="13" max="13" width="8.28515625" customWidth="1"/>
    <col min="14" max="14" width="6.42578125" customWidth="1"/>
    <col min="15" max="15" width="7.5703125" customWidth="1"/>
    <col min="16" max="16" width="7.28515625" customWidth="1"/>
    <col min="17" max="17" width="7.5703125" customWidth="1"/>
  </cols>
  <sheetData>
    <row r="1" spans="1:17" x14ac:dyDescent="0.2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1.1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2" t="s">
        <v>3</v>
      </c>
      <c r="H4" s="1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2" t="s">
        <v>7</v>
      </c>
      <c r="Q4" s="12" t="s">
        <v>8</v>
      </c>
    </row>
    <row r="5" spans="1:17" ht="113.25" customHeight="1" x14ac:dyDescent="0.25">
      <c r="A5" s="20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3"/>
      <c r="H5" s="13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3"/>
      <c r="Q5" s="13"/>
    </row>
    <row r="6" spans="1:17" x14ac:dyDescent="0.25">
      <c r="A6" s="10">
        <v>45383</v>
      </c>
      <c r="B6" s="2">
        <v>601</v>
      </c>
      <c r="C6" s="2">
        <v>848.91660000000002</v>
      </c>
      <c r="D6" s="2">
        <v>618</v>
      </c>
      <c r="E6" s="2">
        <v>0</v>
      </c>
      <c r="F6" s="2">
        <v>0</v>
      </c>
      <c r="G6" s="2">
        <v>0</v>
      </c>
      <c r="H6" s="2">
        <v>0</v>
      </c>
      <c r="I6" s="5">
        <v>10758.32</v>
      </c>
      <c r="J6" s="5">
        <v>0</v>
      </c>
      <c r="K6" s="5">
        <v>10758.32</v>
      </c>
      <c r="L6" s="2">
        <v>0</v>
      </c>
      <c r="M6" s="5">
        <v>11.231</v>
      </c>
      <c r="N6" s="5">
        <v>0</v>
      </c>
      <c r="O6" s="5">
        <v>11.231</v>
      </c>
      <c r="P6" s="5">
        <v>17.119</v>
      </c>
      <c r="Q6" s="5">
        <f>O6/P6*100</f>
        <v>65.605467609089317</v>
      </c>
    </row>
    <row r="7" spans="1:17" x14ac:dyDescent="0.25">
      <c r="A7" s="11">
        <v>45413</v>
      </c>
      <c r="B7" s="3">
        <v>644</v>
      </c>
      <c r="C7" s="3">
        <v>896.91665999999998</v>
      </c>
      <c r="D7" s="3">
        <v>675</v>
      </c>
      <c r="E7" s="3">
        <v>0</v>
      </c>
      <c r="F7" s="3">
        <v>0</v>
      </c>
      <c r="G7" s="3">
        <v>0</v>
      </c>
      <c r="H7" s="3">
        <v>0</v>
      </c>
      <c r="I7" s="6">
        <v>12043.582000000002</v>
      </c>
      <c r="J7" s="6">
        <v>0</v>
      </c>
      <c r="K7" s="6">
        <v>12043.582000000002</v>
      </c>
      <c r="L7" s="3">
        <v>0</v>
      </c>
      <c r="M7" s="6">
        <v>12.858000000000001</v>
      </c>
      <c r="N7" s="6">
        <v>0</v>
      </c>
      <c r="O7" s="6">
        <v>12.858000000000001</v>
      </c>
      <c r="P7" s="6">
        <v>18.681999999999999</v>
      </c>
      <c r="Q7" s="6">
        <f t="shared" ref="Q7:Q18" si="0">O7/P7*100</f>
        <v>68.825607536666325</v>
      </c>
    </row>
    <row r="8" spans="1:17" x14ac:dyDescent="0.25">
      <c r="A8" s="10">
        <v>45444</v>
      </c>
      <c r="B8" s="2">
        <v>640</v>
      </c>
      <c r="C8" s="2">
        <v>891.75</v>
      </c>
      <c r="D8" s="2">
        <v>682</v>
      </c>
      <c r="E8" s="2">
        <v>0</v>
      </c>
      <c r="F8" s="2">
        <v>0</v>
      </c>
      <c r="G8" s="2">
        <v>0</v>
      </c>
      <c r="H8" s="2">
        <v>0</v>
      </c>
      <c r="I8" s="5">
        <v>12112.131000000007</v>
      </c>
      <c r="J8" s="5"/>
      <c r="K8" s="5">
        <v>12112.131000000007</v>
      </c>
      <c r="L8" s="2">
        <v>0</v>
      </c>
      <c r="M8" s="5">
        <v>13.032</v>
      </c>
      <c r="N8" s="5">
        <v>0</v>
      </c>
      <c r="O8" s="5">
        <v>13.032</v>
      </c>
      <c r="P8" s="5">
        <v>18.850999999999999</v>
      </c>
      <c r="Q8" s="5">
        <f t="shared" si="0"/>
        <v>69.131611055116437</v>
      </c>
    </row>
    <row r="9" spans="1:17" x14ac:dyDescent="0.25">
      <c r="A9" s="11">
        <v>45474</v>
      </c>
      <c r="B9" s="3">
        <v>610</v>
      </c>
      <c r="C9" s="3">
        <v>872.33333333333337</v>
      </c>
      <c r="D9" s="3">
        <v>627</v>
      </c>
      <c r="E9" s="3"/>
      <c r="F9" s="3">
        <v>0</v>
      </c>
      <c r="G9" s="3">
        <v>0</v>
      </c>
      <c r="H9" s="3">
        <v>0</v>
      </c>
      <c r="I9" s="6">
        <v>11709.692000000005</v>
      </c>
      <c r="J9" s="6"/>
      <c r="K9" s="6">
        <v>11709.692000000005</v>
      </c>
      <c r="L9" s="3">
        <v>0</v>
      </c>
      <c r="M9" s="6">
        <v>12.348000000000001</v>
      </c>
      <c r="N9" s="6">
        <v>0</v>
      </c>
      <c r="O9" s="6">
        <v>12.348000000000001</v>
      </c>
      <c r="P9" s="6">
        <v>17.311</v>
      </c>
      <c r="Q9" s="6">
        <f t="shared" si="0"/>
        <v>71.330367974120506</v>
      </c>
    </row>
    <row r="10" spans="1:17" x14ac:dyDescent="0.25">
      <c r="A10" s="10">
        <v>45505</v>
      </c>
      <c r="B10" s="2">
        <v>627</v>
      </c>
      <c r="C10" s="2">
        <v>892.5</v>
      </c>
      <c r="D10" s="2">
        <v>665</v>
      </c>
      <c r="E10" s="2"/>
      <c r="F10" s="2">
        <v>0</v>
      </c>
      <c r="G10" s="2">
        <v>0</v>
      </c>
      <c r="H10" s="2">
        <v>0</v>
      </c>
      <c r="I10" s="5">
        <v>12134.716999999993</v>
      </c>
      <c r="J10" s="5"/>
      <c r="K10" s="5">
        <v>12134.716999999993</v>
      </c>
      <c r="L10" s="2">
        <v>0</v>
      </c>
      <c r="M10" s="5">
        <v>12.973000000000001</v>
      </c>
      <c r="N10" s="5">
        <v>0</v>
      </c>
      <c r="O10" s="5">
        <v>12.973000000000001</v>
      </c>
      <c r="P10" s="5">
        <v>18.669</v>
      </c>
      <c r="Q10" s="5">
        <f t="shared" si="0"/>
        <v>69.48952809470245</v>
      </c>
    </row>
    <row r="11" spans="1:17" x14ac:dyDescent="0.25">
      <c r="A11" s="11">
        <v>45536</v>
      </c>
      <c r="B11" s="3">
        <v>526</v>
      </c>
      <c r="C11" s="3">
        <v>736.91666666666663</v>
      </c>
      <c r="D11" s="3">
        <v>512</v>
      </c>
      <c r="E11" s="3"/>
      <c r="F11" s="3">
        <v>0</v>
      </c>
      <c r="G11" s="3">
        <v>0</v>
      </c>
      <c r="H11" s="3">
        <v>0</v>
      </c>
      <c r="I11" s="6">
        <v>10595.121999999983</v>
      </c>
      <c r="J11" s="6"/>
      <c r="K11" s="6">
        <v>10595.121999999983</v>
      </c>
      <c r="L11" s="3">
        <v>0</v>
      </c>
      <c r="M11" s="6">
        <v>10.521000000000001</v>
      </c>
      <c r="N11" s="6">
        <v>0</v>
      </c>
      <c r="O11" s="6">
        <v>10.521000000000001</v>
      </c>
      <c r="P11" s="6">
        <v>14.677</v>
      </c>
      <c r="Q11" s="6">
        <f t="shared" si="0"/>
        <v>71.683586564011719</v>
      </c>
    </row>
    <row r="12" spans="1:17" x14ac:dyDescent="0.25">
      <c r="A12" s="10">
        <v>45566</v>
      </c>
      <c r="B12" s="2">
        <v>589</v>
      </c>
      <c r="C12" s="2">
        <v>821.66666666666663</v>
      </c>
      <c r="D12" s="2">
        <v>585</v>
      </c>
      <c r="E12" s="2"/>
      <c r="F12" s="2">
        <v>0</v>
      </c>
      <c r="G12" s="2">
        <v>0</v>
      </c>
      <c r="H12" s="2">
        <v>0</v>
      </c>
      <c r="I12" s="5">
        <v>11821.221999999989</v>
      </c>
      <c r="J12" s="5"/>
      <c r="K12" s="5">
        <v>11821.221999999989</v>
      </c>
      <c r="L12" s="2">
        <v>0</v>
      </c>
      <c r="M12" s="5">
        <v>11.878</v>
      </c>
      <c r="N12" s="5">
        <v>0</v>
      </c>
      <c r="O12" s="5">
        <v>11.878</v>
      </c>
      <c r="P12" s="5">
        <v>16.584</v>
      </c>
      <c r="Q12" s="5">
        <f t="shared" si="0"/>
        <v>71.623251326579833</v>
      </c>
    </row>
    <row r="13" spans="1:17" x14ac:dyDescent="0.25">
      <c r="A13" s="11">
        <v>45597</v>
      </c>
      <c r="B13" s="3">
        <v>581</v>
      </c>
      <c r="C13" s="3">
        <v>836.41666666666663</v>
      </c>
      <c r="D13" s="3">
        <v>568</v>
      </c>
      <c r="E13" s="3">
        <v>0</v>
      </c>
      <c r="F13" s="3">
        <v>0</v>
      </c>
      <c r="G13" s="3">
        <v>0</v>
      </c>
      <c r="H13" s="3">
        <v>0</v>
      </c>
      <c r="I13" s="6">
        <v>10773.718000000003</v>
      </c>
      <c r="J13" s="6"/>
      <c r="K13" s="6">
        <v>10773.718000000003</v>
      </c>
      <c r="L13" s="3">
        <v>0</v>
      </c>
      <c r="M13" s="6">
        <v>10.755000000000001</v>
      </c>
      <c r="N13" s="6">
        <v>0</v>
      </c>
      <c r="O13" s="6">
        <v>10.755000000000001</v>
      </c>
      <c r="P13" s="6">
        <v>15.743</v>
      </c>
      <c r="Q13" s="6">
        <f t="shared" si="0"/>
        <v>68.316076986597224</v>
      </c>
    </row>
    <row r="14" spans="1:17" x14ac:dyDescent="0.25">
      <c r="A14" s="10">
        <v>45627</v>
      </c>
      <c r="B14" s="2">
        <v>653</v>
      </c>
      <c r="C14" s="2">
        <v>954.66600000000005</v>
      </c>
      <c r="D14" s="2">
        <v>651</v>
      </c>
      <c r="E14" s="2"/>
      <c r="F14" s="2">
        <v>0</v>
      </c>
      <c r="G14" s="2">
        <v>0</v>
      </c>
      <c r="H14" s="2">
        <v>0</v>
      </c>
      <c r="I14" s="5">
        <v>12104.42799999998</v>
      </c>
      <c r="J14" s="5"/>
      <c r="K14" s="5">
        <v>12104.42799999998</v>
      </c>
      <c r="L14" s="2">
        <v>0</v>
      </c>
      <c r="M14" s="5">
        <v>12.170999999999999</v>
      </c>
      <c r="N14" s="5">
        <v>0</v>
      </c>
      <c r="O14" s="5">
        <v>12.170999999999999</v>
      </c>
      <c r="P14" s="5">
        <v>18.867999999999999</v>
      </c>
      <c r="Q14" s="5">
        <f t="shared" si="0"/>
        <v>64.50604197583209</v>
      </c>
    </row>
    <row r="15" spans="1:17" x14ac:dyDescent="0.25">
      <c r="A15" s="11">
        <v>45658</v>
      </c>
      <c r="B15" s="3">
        <v>647</v>
      </c>
      <c r="C15" s="3">
        <v>920.41666666666663</v>
      </c>
      <c r="D15" s="3">
        <v>640</v>
      </c>
      <c r="E15" s="3"/>
      <c r="F15" s="3">
        <v>0</v>
      </c>
      <c r="G15" s="3">
        <v>0</v>
      </c>
      <c r="H15" s="3">
        <v>0</v>
      </c>
      <c r="I15" s="6">
        <v>11566.214999999998</v>
      </c>
      <c r="J15" s="6"/>
      <c r="K15" s="6">
        <v>11566.214999999998</v>
      </c>
      <c r="L15" s="3">
        <v>0</v>
      </c>
      <c r="M15" s="6">
        <v>11.683999999999999</v>
      </c>
      <c r="N15" s="6">
        <v>0</v>
      </c>
      <c r="O15" s="6">
        <v>11.683999999999999</v>
      </c>
      <c r="P15" s="6">
        <v>18.437000000000001</v>
      </c>
      <c r="Q15" s="6">
        <f t="shared" si="0"/>
        <v>63.37256603568909</v>
      </c>
    </row>
    <row r="16" spans="1:17" x14ac:dyDescent="0.25">
      <c r="A16" s="10">
        <v>45689</v>
      </c>
      <c r="B16" s="2">
        <v>591</v>
      </c>
      <c r="C16" s="2">
        <v>854.41666666666663</v>
      </c>
      <c r="D16" s="2">
        <v>589</v>
      </c>
      <c r="E16" s="2"/>
      <c r="F16" s="2">
        <v>0</v>
      </c>
      <c r="G16" s="2">
        <v>0</v>
      </c>
      <c r="H16" s="2">
        <v>0</v>
      </c>
      <c r="I16" s="5">
        <v>10506.369999999992</v>
      </c>
      <c r="J16" s="5"/>
      <c r="K16" s="5">
        <v>10506.369999999992</v>
      </c>
      <c r="L16" s="2">
        <v>0</v>
      </c>
      <c r="M16" s="5">
        <v>10.606</v>
      </c>
      <c r="N16" s="5">
        <v>0</v>
      </c>
      <c r="O16" s="5">
        <v>10.606</v>
      </c>
      <c r="P16" s="5">
        <v>17.013000000000002</v>
      </c>
      <c r="Q16" s="5">
        <f t="shared" si="0"/>
        <v>62.34056309880679</v>
      </c>
    </row>
    <row r="17" spans="1:17" x14ac:dyDescent="0.25">
      <c r="A17" s="11">
        <v>45717</v>
      </c>
      <c r="B17" s="3">
        <v>596</v>
      </c>
      <c r="C17" s="3">
        <v>842.16666666666663</v>
      </c>
      <c r="D17" s="3">
        <v>592</v>
      </c>
      <c r="E17" s="3"/>
      <c r="F17" s="3">
        <v>0</v>
      </c>
      <c r="G17" s="3">
        <v>0</v>
      </c>
      <c r="H17" s="3">
        <v>0</v>
      </c>
      <c r="I17" s="6">
        <v>11344.711999999998</v>
      </c>
      <c r="J17" s="6"/>
      <c r="K17" s="6">
        <v>11344.711999999998</v>
      </c>
      <c r="L17" s="3">
        <v>0</v>
      </c>
      <c r="M17" s="6">
        <v>11.356</v>
      </c>
      <c r="N17" s="6">
        <v>0</v>
      </c>
      <c r="O17" s="6">
        <v>11.356</v>
      </c>
      <c r="P17" s="6">
        <v>17.463999999999999</v>
      </c>
      <c r="Q17" s="6">
        <f t="shared" si="0"/>
        <v>65.025194686211634</v>
      </c>
    </row>
    <row r="18" spans="1:17" x14ac:dyDescent="0.25">
      <c r="A18" s="1" t="s">
        <v>22</v>
      </c>
      <c r="B18" s="4">
        <f>SUM(B6:B17)</f>
        <v>7305</v>
      </c>
      <c r="C18" s="4">
        <f t="shared" ref="C18:H18" si="1">SUM(C6:C17)</f>
        <v>10369.082593333333</v>
      </c>
      <c r="D18" s="4">
        <f t="shared" si="1"/>
        <v>7404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7">
        <f>SUM(I6:I17)</f>
        <v>137470.22899999996</v>
      </c>
      <c r="J18" s="7">
        <f t="shared" ref="J18:P18" si="2">SUM(J6:J17)</f>
        <v>0</v>
      </c>
      <c r="K18" s="7">
        <f t="shared" si="2"/>
        <v>137470.22899999996</v>
      </c>
      <c r="L18" s="4">
        <f t="shared" si="2"/>
        <v>0</v>
      </c>
      <c r="M18" s="7">
        <f t="shared" si="2"/>
        <v>141.41299999999998</v>
      </c>
      <c r="N18" s="7">
        <f t="shared" si="2"/>
        <v>0</v>
      </c>
      <c r="O18" s="7">
        <f t="shared" si="2"/>
        <v>141.41299999999998</v>
      </c>
      <c r="P18" s="7">
        <f t="shared" si="2"/>
        <v>209.41800000000001</v>
      </c>
      <c r="Q18" s="9">
        <f t="shared" si="0"/>
        <v>67.526669149738794</v>
      </c>
    </row>
    <row r="19" spans="1:17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2022-04-26T05:11:34Z</cp:lastPrinted>
  <dcterms:created xsi:type="dcterms:W3CDTF">2018-10-29T04:00:07Z</dcterms:created>
  <dcterms:modified xsi:type="dcterms:W3CDTF">2025-11-10T10:26:27Z</dcterms:modified>
</cp:coreProperties>
</file>