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cer\Desktop\Yearly Report (2018-19)\Domestic final 22.5.2020\EXCELs\SPICEJET\"/>
    </mc:Choice>
  </mc:AlternateContent>
  <bookViews>
    <workbookView xWindow="-120" yWindow="-120" windowWidth="20736" windowHeight="11160"/>
  </bookViews>
  <sheets>
    <sheet name="SPICEJET" sheetId="1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7" i="13" l="1"/>
  <c r="Q8" i="13"/>
  <c r="Q9" i="13"/>
  <c r="Q10" i="13"/>
  <c r="Q11" i="13"/>
  <c r="Q12" i="13"/>
  <c r="Q13" i="13"/>
  <c r="Q14" i="13"/>
  <c r="Q15" i="13"/>
  <c r="Q16" i="13"/>
  <c r="Q17" i="13"/>
  <c r="Q18" i="13"/>
  <c r="Q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6" i="13"/>
  <c r="J18" i="13" l="1"/>
  <c r="I18" i="13"/>
  <c r="C18" i="13"/>
  <c r="B18" i="13"/>
  <c r="P18" i="13"/>
  <c r="O18" i="13"/>
  <c r="N18" i="13"/>
  <c r="M18" i="13"/>
  <c r="L18" i="13"/>
  <c r="K18" i="13"/>
  <c r="G18" i="13"/>
  <c r="F18" i="13"/>
  <c r="E18" i="13"/>
  <c r="D18" i="13"/>
</calcChain>
</file>

<file path=xl/sharedStrings.xml><?xml version="1.0" encoding="utf-8"?>
<sst xmlns="http://schemas.openxmlformats.org/spreadsheetml/2006/main" count="26" uniqueCount="24">
  <si>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</si>
  <si>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</si>
  <si>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</si>
  <si>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</si>
  <si>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</si>
  <si>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</si>
  <si>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</si>
  <si>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</si>
  <si>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</si>
  <si>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</si>
  <si>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</si>
  <si>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</si>
  <si>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</si>
  <si>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</si>
  <si>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</si>
  <si>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</si>
  <si>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</si>
  <si>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</si>
  <si>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</si>
  <si>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2018-19</t>
  </si>
  <si>
    <t xml:space="preserve">तालिका 1.01 (स्पाइसजेट) </t>
  </si>
  <si>
    <t>Table 1.01 (SPICEJET)</t>
  </si>
  <si>
    <t>MONTHLY TRAFFIC AND OPERATING STATISTICS OF SPICEJET ON SCHEDULED DOMESTIC SERVICES DURING 2018-19</t>
  </si>
  <si>
    <t>SOURCE:-  ICAO ATR FORM 'A' FURNISHED BY SPICEJET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</si>
</sst>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#,##0.0"/>
    <numFmt numFmtId="167" formatCode="0.0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3" fillId="0" borderId="0" applyFont="0" applyFill="0" applyBorder="0" applyAlignment="0" applyProtection="0"/>
    <xf numFmtId="0" fontId="5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</cellStyleXfs>
  <cellXfs count="24">
    <xf numFmtId="0" fontId="0" fillId="0" borderId="0" xfId="0"/>
    <xf numFmtId="0" fontId="4" fillId="5" borderId="1" xfId="4" applyFont="1" applyBorder="1" applyAlignment="1" applyProtection="1">
      <alignment horizontal="center" vertical="center" wrapText="1"/>
    </xf>
    <xf numFmtId="164" fontId="3" fillId="5" borderId="1" xfId="4" applyNumberFormat="1" applyBorder="1" applyAlignment="1">
      <alignment horizontal="right" vertical="center"/>
    </xf>
    <xf numFmtId="164" fontId="0" fillId="0" borderId="1" xfId="1" applyNumberFormat="1" applyFont="1" applyBorder="1" applyAlignment="1">
      <alignment horizontal="right" vertical="center"/>
    </xf>
    <xf numFmtId="3" fontId="4" fillId="5" borderId="1" xfId="4" applyNumberFormat="1" applyFont="1" applyBorder="1" applyAlignment="1" applyProtection="1">
      <alignment horizontal="right" vertical="center" wrapText="1"/>
    </xf>
    <xf numFmtId="165" fontId="3" fillId="5" borderId="1" xfId="4" applyNumberFormat="1" applyBorder="1" applyAlignment="1">
      <alignment horizontal="right" vertical="center"/>
    </xf>
    <xf numFmtId="165" fontId="0" fillId="0" borderId="1" xfId="1" applyNumberFormat="1" applyFont="1" applyBorder="1" applyAlignment="1">
      <alignment horizontal="right" vertical="center"/>
    </xf>
    <xf numFmtId="166" fontId="4" fillId="5" borderId="1" xfId="4" applyNumberFormat="1" applyFont="1" applyBorder="1" applyAlignment="1" applyProtection="1">
      <alignment horizontal="right" vertical="center" wrapText="1"/>
    </xf>
    <xf numFmtId="17" fontId="3" fillId="5" borderId="1" xfId="4" applyNumberFormat="1" applyFont="1" applyBorder="1" applyAlignment="1" applyProtection="1">
      <alignment horizontal="center" vertical="center" wrapText="1"/>
    </xf>
    <xf numFmtId="17" fontId="2" fillId="2" borderId="1" xfId="0" applyNumberFormat="1" applyFont="1" applyFill="1" applyBorder="1" applyAlignment="1" applyProtection="1">
      <alignment horizontal="center" vertical="center" wrapText="1"/>
    </xf>
    <xf numFmtId="0" fontId="5" fillId="3" borderId="1" xfId="2" applyBorder="1" applyAlignment="1" applyProtection="1">
      <alignment horizontal="center" vertical="center" textRotation="90" wrapText="1"/>
    </xf>
    <xf numFmtId="167" fontId="3" fillId="4" borderId="1" xfId="3" applyNumberFormat="1" applyBorder="1" applyAlignment="1" applyProtection="1">
      <alignment horizontal="center" vertical="center" wrapText="1"/>
    </xf>
    <xf numFmtId="167" fontId="4" fillId="4" borderId="1" xfId="3" applyNumberFormat="1" applyFont="1" applyBorder="1" applyAlignment="1" applyProtection="1">
      <alignment horizontal="center" vertical="center" wrapText="1"/>
    </xf>
    <xf numFmtId="0" fontId="5" fillId="3" borderId="1" xfId="2" applyBorder="1" applyAlignment="1" applyProtection="1">
      <alignment horizontal="center" vertical="center" textRotation="90" wrapText="1"/>
    </xf>
    <xf numFmtId="0" fontId="5" fillId="3" borderId="1" xfId="2" applyBorder="1" applyAlignment="1">
      <alignment textRotation="90"/>
    </xf>
    <xf numFmtId="0" fontId="1" fillId="2" borderId="2" xfId="0" applyFont="1" applyFill="1" applyBorder="1" applyAlignment="1" applyProtection="1">
      <alignment horizontal="left" vertical="center" wrapText="1"/>
    </xf>
    <xf numFmtId="0" fontId="1" fillId="2" borderId="3" xfId="0" applyFont="1" applyFill="1" applyBorder="1" applyAlignment="1" applyProtection="1">
      <alignment horizontal="left" vertical="center" wrapText="1"/>
    </xf>
    <xf numFmtId="0" fontId="1" fillId="2" borderId="4" xfId="0" applyFont="1" applyFill="1" applyBorder="1" applyAlignment="1" applyProtection="1">
      <alignment horizontal="left" vertical="center" wrapText="1"/>
    </xf>
    <xf numFmtId="0" fontId="0" fillId="5" borderId="1" xfId="4" applyFont="1" applyBorder="1" applyAlignment="1">
      <alignment horizontal="center" vertical="center" wrapText="1"/>
    </xf>
    <xf numFmtId="0" fontId="3" fillId="5" borderId="1" xfId="4" applyBorder="1" applyAlignment="1">
      <alignment horizontal="center" vertical="center" wrapText="1"/>
    </xf>
    <xf numFmtId="0" fontId="0" fillId="5" borderId="1" xfId="4" quotePrefix="1" applyFont="1" applyBorder="1" applyAlignment="1" applyProtection="1">
      <alignment horizontal="center" vertical="center" wrapText="1"/>
    </xf>
    <xf numFmtId="0" fontId="3" fillId="5" borderId="1" xfId="4" applyBorder="1"/>
    <xf numFmtId="0" fontId="5" fillId="3" borderId="1" xfId="2" applyBorder="1" applyAlignment="1" applyProtection="1">
      <alignment horizontal="center" vertical="center" wrapText="1"/>
    </xf>
    <xf numFmtId="0" fontId="5" fillId="3" borderId="1" xfId="2" applyBorder="1"/>
  </cellXfs>
  <cellStyles count="5">
    <cellStyle name="20% - Accent2" xfId="3" builtinId="34"/>
    <cellStyle name="40% - Accent2" xfId="4" builtinId="35"/>
    <cellStyle name="Accent2" xfId="2" builtinId="33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tabSelected="1" workbookViewId="0">
      <selection activeCell="H13" sqref="H13"/>
    </sheetView>
  </sheetViews>
  <sheetFormatPr defaultRowHeight="14.4" x14ac:dyDescent="0.3"/>
  <cols>
    <col min="1" max="1" width="8.109375" customWidth="1"/>
    <col min="2" max="2" width="8" customWidth="1"/>
    <col min="3" max="3" width="7.6640625" customWidth="1"/>
    <col min="4" max="4" width="8.44140625" customWidth="1"/>
    <col min="5" max="5" width="10.6640625" customWidth="1"/>
    <col min="6" max="6" width="7.109375" customWidth="1"/>
    <col min="7" max="7" width="7.88671875" customWidth="1"/>
    <col min="8" max="8" width="6.44140625" customWidth="1"/>
    <col min="9" max="9" width="8.5546875" customWidth="1"/>
    <col min="10" max="10" width="4.88671875" customWidth="1"/>
    <col min="11" max="11" width="8.5546875" customWidth="1"/>
    <col min="12" max="12" width="7.5546875" customWidth="1"/>
    <col min="13" max="13" width="5" customWidth="1"/>
    <col min="14" max="14" width="4.88671875" customWidth="1"/>
    <col min="15" max="15" width="7.6640625" customWidth="1"/>
    <col min="16" max="16" width="7.33203125" customWidth="1"/>
    <col min="17" max="17" width="6.5546875" customWidth="1"/>
  </cols>
  <sheetData>
    <row r="1" spans="1:17" x14ac:dyDescent="0.3">
      <c r="A1" s="18" t="s">
        <v>20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</row>
    <row r="2" spans="1:17" x14ac:dyDescent="0.3">
      <c r="A2" s="20" t="s">
        <v>21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</row>
    <row r="3" spans="1:17" x14ac:dyDescent="0.3">
      <c r="A3" s="22" t="s">
        <v>22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</row>
    <row r="4" spans="1:17" ht="30" customHeight="1" x14ac:dyDescent="0.3">
      <c r="A4" s="22" t="s">
        <v>0</v>
      </c>
      <c r="B4" s="22" t="s">
        <v>1</v>
      </c>
      <c r="C4" s="22"/>
      <c r="D4" s="22"/>
      <c r="E4" s="22" t="s">
        <v>2</v>
      </c>
      <c r="F4" s="23"/>
      <c r="G4" s="13" t="s">
        <v>3</v>
      </c>
      <c r="H4" s="13" t="s">
        <v>4</v>
      </c>
      <c r="I4" s="22" t="s">
        <v>5</v>
      </c>
      <c r="J4" s="22"/>
      <c r="K4" s="22"/>
      <c r="L4" s="22" t="s">
        <v>6</v>
      </c>
      <c r="M4" s="22"/>
      <c r="N4" s="22"/>
      <c r="O4" s="22"/>
      <c r="P4" s="13" t="s">
        <v>7</v>
      </c>
      <c r="Q4" s="13" t="s">
        <v>8</v>
      </c>
    </row>
    <row r="5" spans="1:17" ht="124.5" customHeight="1" x14ac:dyDescent="0.3">
      <c r="A5" s="22"/>
      <c r="B5" s="10" t="s">
        <v>9</v>
      </c>
      <c r="C5" s="10" t="s">
        <v>10</v>
      </c>
      <c r="D5" s="10" t="s">
        <v>11</v>
      </c>
      <c r="E5" s="10" t="s">
        <v>12</v>
      </c>
      <c r="F5" s="10" t="s">
        <v>13</v>
      </c>
      <c r="G5" s="14"/>
      <c r="H5" s="14"/>
      <c r="I5" s="10" t="s">
        <v>14</v>
      </c>
      <c r="J5" s="10" t="s">
        <v>15</v>
      </c>
      <c r="K5" s="10" t="s">
        <v>16</v>
      </c>
      <c r="L5" s="10" t="s">
        <v>17</v>
      </c>
      <c r="M5" s="10" t="s">
        <v>18</v>
      </c>
      <c r="N5" s="10" t="s">
        <v>15</v>
      </c>
      <c r="O5" s="10" t="s">
        <v>16</v>
      </c>
      <c r="P5" s="14"/>
      <c r="Q5" s="14"/>
    </row>
    <row r="6" spans="1:17" x14ac:dyDescent="0.3">
      <c r="A6" s="8">
        <v>43191</v>
      </c>
      <c r="B6" s="2">
        <v>11026</v>
      </c>
      <c r="C6" s="2">
        <v>14732</v>
      </c>
      <c r="D6" s="2">
        <v>8503.2000000000007</v>
      </c>
      <c r="E6" s="2">
        <v>1426801</v>
      </c>
      <c r="F6" s="2">
        <v>1284.3368</v>
      </c>
      <c r="G6" s="2">
        <v>1344.6884</v>
      </c>
      <c r="H6" s="11">
        <f>F6/G6*100</f>
        <v>95.511852411309576</v>
      </c>
      <c r="I6" s="5">
        <v>5567.9</v>
      </c>
      <c r="J6" s="5">
        <v>0</v>
      </c>
      <c r="K6" s="5">
        <v>5567.9</v>
      </c>
      <c r="L6" s="5">
        <v>96.325299999999999</v>
      </c>
      <c r="M6" s="5">
        <v>5.7561999999999998</v>
      </c>
      <c r="N6" s="5">
        <v>0</v>
      </c>
      <c r="O6" s="5">
        <v>102.08150000000001</v>
      </c>
      <c r="P6" s="5">
        <v>117.3087</v>
      </c>
      <c r="Q6" s="11">
        <f>O6/P6*100</f>
        <v>87.019547569788088</v>
      </c>
    </row>
    <row r="7" spans="1:17" x14ac:dyDescent="0.3">
      <c r="A7" s="9">
        <v>43221</v>
      </c>
      <c r="B7" s="3">
        <v>11488</v>
      </c>
      <c r="C7" s="3">
        <v>15429</v>
      </c>
      <c r="D7" s="3">
        <v>8834</v>
      </c>
      <c r="E7" s="3">
        <v>1459005</v>
      </c>
      <c r="F7" s="3">
        <v>1319.5428999999999</v>
      </c>
      <c r="G7" s="3">
        <v>1391.9578000000001</v>
      </c>
      <c r="H7" s="11">
        <f t="shared" ref="H7:H18" si="0">F7/G7*100</f>
        <v>94.797622456657791</v>
      </c>
      <c r="I7" s="6">
        <v>6146</v>
      </c>
      <c r="J7" s="6">
        <v>0</v>
      </c>
      <c r="K7" s="6">
        <v>6146</v>
      </c>
      <c r="L7" s="6">
        <v>98.965699999999998</v>
      </c>
      <c r="M7" s="6">
        <v>6.3976000000000006</v>
      </c>
      <c r="N7" s="6">
        <v>0</v>
      </c>
      <c r="O7" s="6">
        <v>105.36330000000001</v>
      </c>
      <c r="P7" s="6">
        <v>121.7097</v>
      </c>
      <c r="Q7" s="11">
        <f t="shared" ref="Q7:Q18" si="1">O7/P7*100</f>
        <v>86.56935314112188</v>
      </c>
    </row>
    <row r="8" spans="1:17" x14ac:dyDescent="0.3">
      <c r="A8" s="8">
        <v>43252</v>
      </c>
      <c r="B8" s="2">
        <v>11015</v>
      </c>
      <c r="C8" s="2">
        <v>14724</v>
      </c>
      <c r="D8" s="2">
        <v>8380.5</v>
      </c>
      <c r="E8" s="2">
        <v>1370265</v>
      </c>
      <c r="F8" s="2">
        <v>1226.1871159999998</v>
      </c>
      <c r="G8" s="2">
        <v>1314.1445190000002</v>
      </c>
      <c r="H8" s="11">
        <f t="shared" si="0"/>
        <v>93.306869851199352</v>
      </c>
      <c r="I8" s="5">
        <v>7159.1</v>
      </c>
      <c r="J8" s="5">
        <v>0</v>
      </c>
      <c r="K8" s="5">
        <v>7159.1</v>
      </c>
      <c r="L8" s="5">
        <v>91.963999999999999</v>
      </c>
      <c r="M8" s="5">
        <v>7.3327</v>
      </c>
      <c r="N8" s="5">
        <v>0</v>
      </c>
      <c r="O8" s="5">
        <v>99.296700000000001</v>
      </c>
      <c r="P8" s="5">
        <v>114.93130000000001</v>
      </c>
      <c r="Q8" s="11">
        <f t="shared" si="1"/>
        <v>86.396569080833501</v>
      </c>
    </row>
    <row r="9" spans="1:17" x14ac:dyDescent="0.3">
      <c r="A9" s="9">
        <v>43282</v>
      </c>
      <c r="B9" s="3">
        <v>11401</v>
      </c>
      <c r="C9" s="3">
        <v>15101</v>
      </c>
      <c r="D9" s="3">
        <v>8545</v>
      </c>
      <c r="E9" s="3">
        <v>1427257</v>
      </c>
      <c r="F9" s="3">
        <v>1248.7306000000001</v>
      </c>
      <c r="G9" s="3">
        <v>1331.8389999999999</v>
      </c>
      <c r="H9" s="11">
        <f t="shared" si="0"/>
        <v>93.759876381454518</v>
      </c>
      <c r="I9" s="6">
        <v>7600.8</v>
      </c>
      <c r="J9" s="6">
        <v>0</v>
      </c>
      <c r="K9" s="6">
        <v>7600.8</v>
      </c>
      <c r="L9" s="6">
        <v>93.654800000000009</v>
      </c>
      <c r="M9" s="6">
        <v>7.9850000000000003</v>
      </c>
      <c r="N9" s="6">
        <v>0</v>
      </c>
      <c r="O9" s="6">
        <v>101.63980000000001</v>
      </c>
      <c r="P9" s="6">
        <v>116.5342</v>
      </c>
      <c r="Q9" s="11">
        <f t="shared" si="1"/>
        <v>87.218859356309139</v>
      </c>
    </row>
    <row r="10" spans="1:17" x14ac:dyDescent="0.3">
      <c r="A10" s="8">
        <v>43313</v>
      </c>
      <c r="B10" s="2">
        <v>11328</v>
      </c>
      <c r="C10" s="2">
        <v>14816</v>
      </c>
      <c r="D10" s="2">
        <v>8431.26</v>
      </c>
      <c r="E10" s="2">
        <v>1404424</v>
      </c>
      <c r="F10" s="2">
        <v>1229.7185900000002</v>
      </c>
      <c r="G10" s="2">
        <v>1313.9652100000001</v>
      </c>
      <c r="H10" s="11">
        <f t="shared" si="0"/>
        <v>93.588367533718809</v>
      </c>
      <c r="I10" s="5">
        <v>7459.6047200000003</v>
      </c>
      <c r="J10" s="5">
        <v>0</v>
      </c>
      <c r="K10" s="5">
        <v>7459.6047200000003</v>
      </c>
      <c r="L10" s="5">
        <v>92.228889999999993</v>
      </c>
      <c r="M10" s="5">
        <v>7.8827499999999997</v>
      </c>
      <c r="N10" s="5">
        <v>0</v>
      </c>
      <c r="O10" s="5">
        <v>100.11163999999999</v>
      </c>
      <c r="P10" s="5">
        <v>115.15289999999999</v>
      </c>
      <c r="Q10" s="11">
        <f t="shared" si="1"/>
        <v>86.938010245508366</v>
      </c>
    </row>
    <row r="11" spans="1:17" x14ac:dyDescent="0.3">
      <c r="A11" s="9">
        <v>43344</v>
      </c>
      <c r="B11" s="3">
        <v>10975</v>
      </c>
      <c r="C11" s="3">
        <v>14500</v>
      </c>
      <c r="D11" s="3">
        <v>8357.393</v>
      </c>
      <c r="E11" s="3">
        <v>1362564</v>
      </c>
      <c r="F11" s="3">
        <v>1214.9458340000001</v>
      </c>
      <c r="G11" s="3">
        <v>1303.9926</v>
      </c>
      <c r="H11" s="11">
        <f t="shared" si="0"/>
        <v>93.171221523803126</v>
      </c>
      <c r="I11" s="6">
        <v>8039.2579999999998</v>
      </c>
      <c r="J11" s="6">
        <v>0</v>
      </c>
      <c r="K11" s="6">
        <v>8039.2579999999998</v>
      </c>
      <c r="L11" s="6">
        <v>91.120937999999995</v>
      </c>
      <c r="M11" s="6">
        <v>8.8583639999999999</v>
      </c>
      <c r="N11" s="6">
        <v>0</v>
      </c>
      <c r="O11" s="6">
        <v>99.97930199999999</v>
      </c>
      <c r="P11" s="6">
        <v>114.883302</v>
      </c>
      <c r="Q11" s="11">
        <f t="shared" si="1"/>
        <v>87.026835283686381</v>
      </c>
    </row>
    <row r="12" spans="1:17" x14ac:dyDescent="0.3">
      <c r="A12" s="8">
        <v>43374</v>
      </c>
      <c r="B12" s="2">
        <v>11518</v>
      </c>
      <c r="C12" s="2">
        <v>18367</v>
      </c>
      <c r="D12" s="2">
        <v>8761.85</v>
      </c>
      <c r="E12" s="2">
        <v>1382010</v>
      </c>
      <c r="F12" s="2">
        <v>1239.91021</v>
      </c>
      <c r="G12" s="2">
        <v>1365.55169</v>
      </c>
      <c r="H12" s="11">
        <f t="shared" si="0"/>
        <v>90.79921463829757</v>
      </c>
      <c r="I12" s="5">
        <v>8345.5499999999993</v>
      </c>
      <c r="J12" s="5">
        <v>0</v>
      </c>
      <c r="K12" s="5">
        <v>8345.5499999999993</v>
      </c>
      <c r="L12" s="5">
        <v>92.99327000000001</v>
      </c>
      <c r="M12" s="5">
        <v>7.7336400000000003</v>
      </c>
      <c r="N12" s="5">
        <v>0</v>
      </c>
      <c r="O12" s="5">
        <v>100.72691</v>
      </c>
      <c r="P12" s="5">
        <v>119.42805</v>
      </c>
      <c r="Q12" s="11">
        <f t="shared" si="1"/>
        <v>84.341082350419356</v>
      </c>
    </row>
    <row r="13" spans="1:17" x14ac:dyDescent="0.3">
      <c r="A13" s="9">
        <v>43405</v>
      </c>
      <c r="B13" s="3">
        <v>11794</v>
      </c>
      <c r="C13" s="3">
        <v>16007</v>
      </c>
      <c r="D13" s="3">
        <v>9270.2330000000002</v>
      </c>
      <c r="E13" s="3">
        <v>1454822</v>
      </c>
      <c r="F13" s="3">
        <v>1330.630801</v>
      </c>
      <c r="G13" s="3">
        <v>1461.3795560000001</v>
      </c>
      <c r="H13" s="11">
        <f t="shared" si="0"/>
        <v>91.053059797970775</v>
      </c>
      <c r="I13" s="6">
        <v>7193.0267700000004</v>
      </c>
      <c r="J13" s="6">
        <v>0</v>
      </c>
      <c r="K13" s="6">
        <v>7193.0267700000004</v>
      </c>
      <c r="L13" s="6">
        <v>99.797309999999996</v>
      </c>
      <c r="M13" s="6">
        <v>7.1581149999999996</v>
      </c>
      <c r="N13" s="6">
        <v>0</v>
      </c>
      <c r="O13" s="6">
        <v>106.95542500000001</v>
      </c>
      <c r="P13" s="6">
        <v>127.426675</v>
      </c>
      <c r="Q13" s="11">
        <f t="shared" si="1"/>
        <v>83.934878627257604</v>
      </c>
    </row>
    <row r="14" spans="1:17" x14ac:dyDescent="0.3">
      <c r="A14" s="8">
        <v>43435</v>
      </c>
      <c r="B14" s="2">
        <v>12473</v>
      </c>
      <c r="C14" s="2">
        <v>17115</v>
      </c>
      <c r="D14" s="2">
        <v>9905.5550000000003</v>
      </c>
      <c r="E14" s="2">
        <v>1563700</v>
      </c>
      <c r="F14" s="2">
        <v>1448.7514900000001</v>
      </c>
      <c r="G14" s="2">
        <v>1562.3341270000001</v>
      </c>
      <c r="H14" s="11">
        <f t="shared" si="0"/>
        <v>92.729939451677865</v>
      </c>
      <c r="I14" s="5">
        <v>8419.5856399999993</v>
      </c>
      <c r="J14" s="5">
        <v>0</v>
      </c>
      <c r="K14" s="5">
        <v>8419.5856399999993</v>
      </c>
      <c r="L14" s="5">
        <v>108.6549455</v>
      </c>
      <c r="M14" s="5">
        <v>8.130919200000001</v>
      </c>
      <c r="N14" s="5">
        <v>0</v>
      </c>
      <c r="O14" s="5">
        <v>116.7858647</v>
      </c>
      <c r="P14" s="5">
        <v>136.02595399999998</v>
      </c>
      <c r="Q14" s="11">
        <f t="shared" si="1"/>
        <v>85.855574811848058</v>
      </c>
    </row>
    <row r="15" spans="1:17" x14ac:dyDescent="0.3">
      <c r="A15" s="9">
        <v>43466</v>
      </c>
      <c r="B15" s="3">
        <v>13271</v>
      </c>
      <c r="C15" s="3">
        <v>18645</v>
      </c>
      <c r="D15" s="3">
        <v>10803.49</v>
      </c>
      <c r="E15" s="3">
        <v>1665660</v>
      </c>
      <c r="F15" s="3">
        <v>1568.33501</v>
      </c>
      <c r="G15" s="3">
        <v>1726.2018</v>
      </c>
      <c r="H15" s="11">
        <f t="shared" si="0"/>
        <v>90.854673538169166</v>
      </c>
      <c r="I15" s="6">
        <v>7705.25</v>
      </c>
      <c r="J15" s="6">
        <v>0</v>
      </c>
      <c r="K15" s="6">
        <v>7705.25</v>
      </c>
      <c r="L15" s="6">
        <v>117.62513</v>
      </c>
      <c r="M15" s="6">
        <v>7.7031400000000003</v>
      </c>
      <c r="N15" s="6">
        <v>0</v>
      </c>
      <c r="O15" s="6">
        <v>125.32827</v>
      </c>
      <c r="P15" s="6">
        <v>149.62657999999999</v>
      </c>
      <c r="Q15" s="11">
        <f t="shared" si="1"/>
        <v>83.760699469305536</v>
      </c>
    </row>
    <row r="16" spans="1:17" x14ac:dyDescent="0.3">
      <c r="A16" s="8">
        <v>43497</v>
      </c>
      <c r="B16" s="2">
        <v>12059</v>
      </c>
      <c r="C16" s="2">
        <v>16961</v>
      </c>
      <c r="D16" s="2">
        <v>9791.8130000000001</v>
      </c>
      <c r="E16" s="2">
        <v>1557868</v>
      </c>
      <c r="F16" s="2">
        <v>1464.78781</v>
      </c>
      <c r="G16" s="2">
        <v>1557.6102450000001</v>
      </c>
      <c r="H16" s="11">
        <f t="shared" si="0"/>
        <v>94.040714915816437</v>
      </c>
      <c r="I16" s="5">
        <v>6831.8539099999998</v>
      </c>
      <c r="J16" s="5">
        <v>0</v>
      </c>
      <c r="K16" s="5">
        <v>6831.8539099999998</v>
      </c>
      <c r="L16" s="5">
        <v>109.85908599999999</v>
      </c>
      <c r="M16" s="5">
        <v>7.4022039999999993</v>
      </c>
      <c r="N16" s="5">
        <v>0</v>
      </c>
      <c r="O16" s="5">
        <v>117.26128999999999</v>
      </c>
      <c r="P16" s="5">
        <v>135.280676</v>
      </c>
      <c r="Q16" s="11">
        <f t="shared" si="1"/>
        <v>86.680000031933602</v>
      </c>
    </row>
    <row r="17" spans="1:17" x14ac:dyDescent="0.3">
      <c r="A17" s="9">
        <v>43525</v>
      </c>
      <c r="B17" s="3">
        <v>12968</v>
      </c>
      <c r="C17" s="3">
        <v>17576</v>
      </c>
      <c r="D17" s="3">
        <v>10148.297</v>
      </c>
      <c r="E17" s="3">
        <v>1581456</v>
      </c>
      <c r="F17" s="3">
        <v>1458.3263570000001</v>
      </c>
      <c r="G17" s="3">
        <v>1567.50081</v>
      </c>
      <c r="H17" s="11">
        <f t="shared" si="0"/>
        <v>93.035126214703524</v>
      </c>
      <c r="I17" s="6">
        <v>8506.3610000000008</v>
      </c>
      <c r="J17" s="6">
        <v>0</v>
      </c>
      <c r="K17" s="6">
        <v>8506.3610000000008</v>
      </c>
      <c r="L17" s="6">
        <v>109.374477</v>
      </c>
      <c r="M17" s="6">
        <v>7.7514029999999998</v>
      </c>
      <c r="N17" s="6">
        <v>0</v>
      </c>
      <c r="O17" s="6">
        <v>117.12588000000001</v>
      </c>
      <c r="P17" s="6">
        <v>136.57721900000001</v>
      </c>
      <c r="Q17" s="11">
        <f t="shared" si="1"/>
        <v>85.757991601805855</v>
      </c>
    </row>
    <row r="18" spans="1:17" x14ac:dyDescent="0.3">
      <c r="A18" s="1" t="s">
        <v>19</v>
      </c>
      <c r="B18" s="4">
        <f>SUM(B6:B17)</f>
        <v>141316</v>
      </c>
      <c r="C18" s="4">
        <f t="shared" ref="C18:G18" si="2">SUM(C6:C17)</f>
        <v>193973</v>
      </c>
      <c r="D18" s="4">
        <f t="shared" si="2"/>
        <v>109732.59100000001</v>
      </c>
      <c r="E18" s="4">
        <f t="shared" si="2"/>
        <v>17655832</v>
      </c>
      <c r="F18" s="4">
        <f t="shared" si="2"/>
        <v>16034.203518</v>
      </c>
      <c r="G18" s="4">
        <f t="shared" si="2"/>
        <v>17241.165757000002</v>
      </c>
      <c r="H18" s="12">
        <f t="shared" si="0"/>
        <v>92.999532305349078</v>
      </c>
      <c r="I18" s="7">
        <f t="shared" ref="I18:P18" si="3">SUM(I6:I17)</f>
        <v>88974.290040000007</v>
      </c>
      <c r="J18" s="7">
        <f t="shared" si="3"/>
        <v>0</v>
      </c>
      <c r="K18" s="7">
        <f t="shared" si="3"/>
        <v>88974.290040000007</v>
      </c>
      <c r="L18" s="7">
        <f t="shared" si="3"/>
        <v>1202.5638465000002</v>
      </c>
      <c r="M18" s="7">
        <f t="shared" si="3"/>
        <v>90.092035200000012</v>
      </c>
      <c r="N18" s="7">
        <f t="shared" si="3"/>
        <v>0</v>
      </c>
      <c r="O18" s="7">
        <f t="shared" si="3"/>
        <v>1292.6558817</v>
      </c>
      <c r="P18" s="7">
        <f t="shared" si="3"/>
        <v>1504.885256</v>
      </c>
      <c r="Q18" s="12">
        <f t="shared" si="1"/>
        <v>85.897305229495842</v>
      </c>
    </row>
    <row r="19" spans="1:17" x14ac:dyDescent="0.3">
      <c r="A19" s="15" t="s">
        <v>23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7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SPICEJET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2020-05-06T11:03:48Z</cp:lastPrinted>
  <dcterms:created xsi:type="dcterms:W3CDTF">2018-10-29T04:00:07Z</dcterms:created>
  <dcterms:modified xsi:type="dcterms:W3CDTF">2020-06-03T10:59:31Z</dcterms:modified>
</cp:coreProperties>
</file>