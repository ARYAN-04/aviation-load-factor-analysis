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12. INDIGO\"/>
    </mc:Choice>
  </mc:AlternateContent>
  <bookViews>
    <workbookView xWindow="0" yWindow="0" windowWidth="11970" windowHeight="9495"/>
  </bookViews>
  <sheets>
    <sheet name="INDIGO" sheetId="10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8" i="10" l="1"/>
  <c r="P18" i="10" l="1"/>
  <c r="G18" i="10" l="1"/>
  <c r="O8" i="10" l="1"/>
  <c r="O9" i="10"/>
  <c r="O10" i="10"/>
  <c r="O11" i="10"/>
  <c r="O12" i="10"/>
  <c r="O13" i="10"/>
  <c r="O14" i="10"/>
  <c r="O15" i="10"/>
  <c r="O16" i="10"/>
  <c r="O17" i="10"/>
  <c r="O7" i="10"/>
  <c r="K8" i="10"/>
  <c r="K9" i="10"/>
  <c r="K10" i="10"/>
  <c r="K11" i="10"/>
  <c r="K12" i="10"/>
  <c r="K13" i="10"/>
  <c r="K14" i="10"/>
  <c r="K15" i="10"/>
  <c r="K16" i="10"/>
  <c r="K17" i="10"/>
  <c r="K7" i="10"/>
  <c r="Q7" i="10" l="1"/>
  <c r="Q8" i="10"/>
  <c r="Q9" i="10"/>
  <c r="Q10" i="10"/>
  <c r="Q11" i="10"/>
  <c r="Q12" i="10"/>
  <c r="Q13" i="10"/>
  <c r="Q14" i="10"/>
  <c r="Q15" i="10"/>
  <c r="Q16" i="10"/>
  <c r="Q17" i="10"/>
  <c r="H7" i="10"/>
  <c r="H8" i="10"/>
  <c r="H9" i="10"/>
  <c r="H10" i="10"/>
  <c r="H11" i="10"/>
  <c r="H12" i="10"/>
  <c r="H13" i="10"/>
  <c r="H14" i="10"/>
  <c r="H15" i="10"/>
  <c r="H16" i="10"/>
  <c r="H17" i="10"/>
  <c r="I18" i="10" l="1"/>
  <c r="B18" i="10"/>
  <c r="O18" i="10"/>
  <c r="N18" i="10"/>
  <c r="M18" i="10"/>
  <c r="L18" i="10"/>
  <c r="K18" i="10"/>
  <c r="J18" i="10"/>
  <c r="F18" i="10"/>
  <c r="E18" i="10"/>
  <c r="D18" i="10"/>
  <c r="Q18" i="10" l="1"/>
  <c r="H18" i="10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<sst xmlns="http://schemas.openxmlformats.org/spreadsheetml/2006/main" count="26" uniqueCount="24">
  <si>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</si>
  <si>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</si>
  <si>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</si>
  <si>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</si>
  <si>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</si>
  <si>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</si>
  <si>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</si>
  <si>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</si>
  <si>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</si>
  <si>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</si>
  <si>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</si>
  <si>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</si>
  <si>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</si>
  <si>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</si>
  <si>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</si>
  <si>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</si>
  <si>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</si>
  <si>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</si>
  <si>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</si>
  <si>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1.01 (इंडिगो) </t>
  </si>
  <si>
    <t>Table 1.01 (INDIGO)</t>
  </si>
  <si>
    <t>SOURCE:-  ICAO ATR FORM 'A' FURNISHED BY INDIGO</t>
  </si>
  <si>
    <t>MONTHLY TRAFFIC AND OPERATING STATISTICS OF INDIGO ON SCHEDULED DOMESTIC SERVICES DURING 2020-21</t>
  </si>
  <si>
    <t>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</si>
</sst>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69" formatCode="[$-1010409]m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2">
    <xf numFmtId="0" fontId="0" fillId="0" borderId="0" xfId="0"/>
    <xf numFmtId="0" fontId="4" fillId="4" borderId="1" xfId="3" applyFon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  <xf numFmtId="169" fontId="3" fillId="4" borderId="1" xfId="3" applyNumberFormat="1" applyBorder="1" applyAlignment="1">
      <alignment horizontal="center" vertical="center"/>
    </xf>
    <xf numFmtId="169" fontId="0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view="pageBreakPreview" zoomScale="60" zoomScaleNormal="100" workbookViewId="0">
      <selection activeCell="F5" sqref="F5"/>
    </sheetView>
  </sheetViews>
  <sheetFormatPr defaultRowHeight="15" x14ac:dyDescent="0.25"/>
  <cols>
    <col min="1" max="1" width="16.42578125" style="21" customWidth="1"/>
    <col min="2" max="2" width="11" customWidth="1"/>
    <col min="3" max="3" width="12.140625" customWidth="1"/>
    <col min="4" max="4" width="11.5703125" customWidth="1"/>
    <col min="5" max="5" width="15.42578125" customWidth="1"/>
    <col min="6" max="6" width="10.7109375" customWidth="1"/>
    <col min="7" max="7" width="11" customWidth="1"/>
    <col min="8" max="8" width="8.5703125" customWidth="1"/>
    <col min="9" max="9" width="13.140625" customWidth="1"/>
    <col min="10" max="10" width="11" customWidth="1"/>
    <col min="11" max="11" width="11.5703125" customWidth="1"/>
    <col min="12" max="12" width="10.42578125" customWidth="1"/>
    <col min="13" max="14" width="9.42578125" customWidth="1"/>
    <col min="15" max="15" width="11" customWidth="1"/>
    <col min="16" max="16" width="8.140625" customWidth="1"/>
    <col min="17" max="17" width="8.28515625" customWidth="1"/>
  </cols>
  <sheetData>
    <row r="1" spans="1:17" x14ac:dyDescent="0.25">
      <c r="A1" s="14" t="s">
        <v>19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25">
      <c r="A2" s="15" t="s">
        <v>20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30.75" customHeight="1" x14ac:dyDescent="0.25">
      <c r="A3" s="17" t="s">
        <v>22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ht="33.6" customHeight="1" x14ac:dyDescent="0.25">
      <c r="A4" s="17" t="s">
        <v>0</v>
      </c>
      <c r="B4" s="17" t="s">
        <v>1</v>
      </c>
      <c r="C4" s="17"/>
      <c r="D4" s="17"/>
      <c r="E4" s="17" t="s">
        <v>2</v>
      </c>
      <c r="F4" s="18"/>
      <c r="G4" s="9" t="s">
        <v>3</v>
      </c>
      <c r="H4" s="9" t="s">
        <v>4</v>
      </c>
      <c r="I4" s="17" t="s">
        <v>5</v>
      </c>
      <c r="J4" s="17"/>
      <c r="K4" s="17"/>
      <c r="L4" s="17" t="s">
        <v>6</v>
      </c>
      <c r="M4" s="17"/>
      <c r="N4" s="17"/>
      <c r="O4" s="17"/>
      <c r="P4" s="9" t="s">
        <v>7</v>
      </c>
      <c r="Q4" s="9" t="s">
        <v>8</v>
      </c>
    </row>
    <row r="5" spans="1:17" ht="120.75" customHeight="1" x14ac:dyDescent="0.25">
      <c r="A5" s="17"/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10"/>
      <c r="H5" s="10"/>
      <c r="I5" s="8" t="s">
        <v>14</v>
      </c>
      <c r="J5" s="8" t="s">
        <v>15</v>
      </c>
      <c r="K5" s="8" t="s">
        <v>16</v>
      </c>
      <c r="L5" s="8" t="s">
        <v>17</v>
      </c>
      <c r="M5" s="8" t="s">
        <v>18</v>
      </c>
      <c r="N5" s="8" t="s">
        <v>15</v>
      </c>
      <c r="O5" s="8" t="s">
        <v>16</v>
      </c>
      <c r="P5" s="10"/>
      <c r="Q5" s="10"/>
    </row>
    <row r="6" spans="1:17" x14ac:dyDescent="0.25">
      <c r="A6" s="19">
        <v>43922</v>
      </c>
      <c r="B6" s="2"/>
      <c r="C6" s="2"/>
      <c r="D6" s="2"/>
      <c r="E6" s="2"/>
      <c r="F6" s="2"/>
      <c r="G6" s="2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x14ac:dyDescent="0.25">
      <c r="A7" s="20">
        <v>43952</v>
      </c>
      <c r="B7" s="3">
        <v>1575</v>
      </c>
      <c r="C7" s="3">
        <v>2714.58</v>
      </c>
      <c r="D7" s="3">
        <v>1473</v>
      </c>
      <c r="E7" s="3">
        <v>142254</v>
      </c>
      <c r="F7" s="3">
        <v>141.38300000000001</v>
      </c>
      <c r="G7" s="3">
        <v>268.98500000000001</v>
      </c>
      <c r="H7" s="6">
        <f t="shared" ref="H7:H18" si="0">F7/G7*100</f>
        <v>52.561667007453948</v>
      </c>
      <c r="I7" s="6">
        <v>782.26099999999951</v>
      </c>
      <c r="J7" s="6">
        <v>192.678</v>
      </c>
      <c r="K7" s="6">
        <f>I7+J7</f>
        <v>974.93899999999951</v>
      </c>
      <c r="L7" s="6">
        <v>12.712999999999999</v>
      </c>
      <c r="M7" s="6">
        <v>0.97399999999999998</v>
      </c>
      <c r="N7" s="6">
        <v>0.16700000000000001</v>
      </c>
      <c r="O7" s="6">
        <f>L7+M7+N7</f>
        <v>13.853999999999999</v>
      </c>
      <c r="P7" s="6">
        <v>30.074999999999999</v>
      </c>
      <c r="Q7" s="6">
        <f t="shared" ref="Q7:Q18" si="1">O7/P7*100</f>
        <v>46.064837905236907</v>
      </c>
    </row>
    <row r="8" spans="1:17" x14ac:dyDescent="0.25">
      <c r="A8" s="19">
        <v>43983</v>
      </c>
      <c r="B8" s="2">
        <v>10341</v>
      </c>
      <c r="C8" s="2">
        <v>17810.330000000002</v>
      </c>
      <c r="D8" s="2">
        <v>9437</v>
      </c>
      <c r="E8" s="2">
        <v>1046836</v>
      </c>
      <c r="F8" s="2">
        <v>1038.2629999999999</v>
      </c>
      <c r="G8" s="2">
        <v>1711.028</v>
      </c>
      <c r="H8" s="5">
        <f t="shared" si="0"/>
        <v>60.680655138314506</v>
      </c>
      <c r="I8" s="5">
        <v>7860.9955099999997</v>
      </c>
      <c r="J8" s="5">
        <v>1410.2046500000008</v>
      </c>
      <c r="K8" s="5">
        <f t="shared" ref="K8:K17" si="2">I8+J8</f>
        <v>9271.2001600000003</v>
      </c>
      <c r="L8" s="5">
        <v>93.441999999999993</v>
      </c>
      <c r="M8" s="5">
        <v>8.9789999999999992</v>
      </c>
      <c r="N8" s="5">
        <v>1.238</v>
      </c>
      <c r="O8" s="5">
        <f t="shared" ref="O8:O17" si="3">L8+M8+N8</f>
        <v>103.65899999999999</v>
      </c>
      <c r="P8" s="5">
        <v>194.00299999999999</v>
      </c>
      <c r="Q8" s="5">
        <f t="shared" si="1"/>
        <v>53.431647964206739</v>
      </c>
    </row>
    <row r="9" spans="1:17" x14ac:dyDescent="0.25">
      <c r="A9" s="20">
        <v>44013</v>
      </c>
      <c r="B9" s="3">
        <v>13094</v>
      </c>
      <c r="C9" s="3">
        <v>22743.5</v>
      </c>
      <c r="D9" s="3">
        <v>11616.535</v>
      </c>
      <c r="E9" s="3">
        <v>1272240</v>
      </c>
      <c r="F9" s="3">
        <v>1240.088</v>
      </c>
      <c r="G9" s="3">
        <v>2060.4639999999999</v>
      </c>
      <c r="H9" s="6">
        <f t="shared" si="0"/>
        <v>60.18489039362008</v>
      </c>
      <c r="I9" s="6">
        <v>10776.52605</v>
      </c>
      <c r="J9" s="6">
        <v>1797.6017999999995</v>
      </c>
      <c r="K9" s="6">
        <f t="shared" si="2"/>
        <v>12574.127850000001</v>
      </c>
      <c r="L9" s="6">
        <v>111.59641962000001</v>
      </c>
      <c r="M9" s="6">
        <v>11.74725343335</v>
      </c>
      <c r="N9" s="6">
        <v>1.5882162173300001</v>
      </c>
      <c r="O9" s="6">
        <f t="shared" si="3"/>
        <v>124.93188927068</v>
      </c>
      <c r="P9" s="6">
        <v>233.50352340800001</v>
      </c>
      <c r="Q9" s="6">
        <f t="shared" si="1"/>
        <v>53.503213761955479</v>
      </c>
    </row>
    <row r="10" spans="1:17" x14ac:dyDescent="0.25">
      <c r="A10" s="19">
        <v>44044</v>
      </c>
      <c r="B10" s="2">
        <v>15897</v>
      </c>
      <c r="C10" s="2">
        <v>27875</v>
      </c>
      <c r="D10" s="2">
        <v>14060.191999999999</v>
      </c>
      <c r="E10" s="2">
        <v>1681787</v>
      </c>
      <c r="F10" s="2">
        <v>1633.951</v>
      </c>
      <c r="G10" s="2">
        <v>2490.194</v>
      </c>
      <c r="H10" s="5">
        <f t="shared" si="0"/>
        <v>65.615409883727935</v>
      </c>
      <c r="I10" s="5">
        <v>11349.06493</v>
      </c>
      <c r="J10" s="5">
        <v>1959.6480899999999</v>
      </c>
      <c r="K10" s="5">
        <f t="shared" si="2"/>
        <v>13308.713020000001</v>
      </c>
      <c r="L10" s="5">
        <v>147.01440033</v>
      </c>
      <c r="M10" s="5">
        <v>9.6401705769900108</v>
      </c>
      <c r="N10" s="5">
        <v>1.6712809458900002</v>
      </c>
      <c r="O10" s="5">
        <f t="shared" si="3"/>
        <v>158.32585185288002</v>
      </c>
      <c r="P10" s="5">
        <v>165.61003539999999</v>
      </c>
      <c r="Q10" s="5">
        <f t="shared" si="1"/>
        <v>95.601604981530016</v>
      </c>
    </row>
    <row r="11" spans="1:17" x14ac:dyDescent="0.25">
      <c r="A11" s="20">
        <v>44075</v>
      </c>
      <c r="B11" s="3">
        <v>21063</v>
      </c>
      <c r="C11" s="3">
        <v>37320.050000000003</v>
      </c>
      <c r="D11" s="3">
        <v>19101.914000000001</v>
      </c>
      <c r="E11" s="3">
        <v>2265539</v>
      </c>
      <c r="F11" s="3">
        <v>2233.4749999999999</v>
      </c>
      <c r="G11" s="3">
        <v>3415.4969999999998</v>
      </c>
      <c r="H11" s="6">
        <f t="shared" si="0"/>
        <v>65.392386525299244</v>
      </c>
      <c r="I11" s="6">
        <v>13099.07121</v>
      </c>
      <c r="J11" s="6">
        <v>2296.4352200000017</v>
      </c>
      <c r="K11" s="6">
        <f t="shared" si="2"/>
        <v>15395.506430000001</v>
      </c>
      <c r="L11" s="6">
        <v>200.97457470000001</v>
      </c>
      <c r="M11" s="6">
        <v>14.798240709789999</v>
      </c>
      <c r="N11" s="6">
        <v>1.89775164442</v>
      </c>
      <c r="O11" s="6">
        <f t="shared" si="3"/>
        <v>217.67056705421001</v>
      </c>
      <c r="P11" s="6">
        <v>381.91156579199901</v>
      </c>
      <c r="Q11" s="6">
        <f t="shared" si="1"/>
        <v>56.995018363167404</v>
      </c>
    </row>
    <row r="12" spans="1:17" x14ac:dyDescent="0.25">
      <c r="A12" s="19">
        <v>44105</v>
      </c>
      <c r="B12" s="2">
        <v>24853</v>
      </c>
      <c r="C12" s="2">
        <v>43914.95</v>
      </c>
      <c r="D12" s="2">
        <v>22864.053</v>
      </c>
      <c r="E12" s="2">
        <v>2926835</v>
      </c>
      <c r="F12" s="2">
        <v>2820.75</v>
      </c>
      <c r="G12" s="2">
        <v>4137.2330000000002</v>
      </c>
      <c r="H12" s="5">
        <f t="shared" si="0"/>
        <v>68.179626334799124</v>
      </c>
      <c r="I12" s="5">
        <v>15877.95055</v>
      </c>
      <c r="J12" s="5">
        <v>2522.1640699999998</v>
      </c>
      <c r="K12" s="5">
        <f t="shared" si="2"/>
        <v>18400.11462</v>
      </c>
      <c r="L12" s="5">
        <v>253.79787194444015</v>
      </c>
      <c r="M12" s="5">
        <v>17.89014475654</v>
      </c>
      <c r="N12" s="5">
        <v>2.1588349027499998</v>
      </c>
      <c r="O12" s="5">
        <f t="shared" si="3"/>
        <v>273.84685160373016</v>
      </c>
      <c r="P12" s="5">
        <v>435.74118558599997</v>
      </c>
      <c r="Q12" s="5">
        <f t="shared" si="1"/>
        <v>62.846217126676088</v>
      </c>
    </row>
    <row r="13" spans="1:17" x14ac:dyDescent="0.25">
      <c r="A13" s="20">
        <v>44136</v>
      </c>
      <c r="B13" s="3">
        <v>26786</v>
      </c>
      <c r="C13" s="3">
        <v>47267.58</v>
      </c>
      <c r="D13" s="3">
        <v>24377.119999999999</v>
      </c>
      <c r="E13" s="3">
        <v>3423059</v>
      </c>
      <c r="F13" s="3">
        <v>3280.7919999999999</v>
      </c>
      <c r="G13" s="3">
        <v>4435.0959999999995</v>
      </c>
      <c r="H13" s="6">
        <f t="shared" si="0"/>
        <v>73.973415682546673</v>
      </c>
      <c r="I13" s="6">
        <v>15035.611000000001</v>
      </c>
      <c r="J13" s="6">
        <v>2287.2709999999979</v>
      </c>
      <c r="K13" s="6">
        <f t="shared" si="2"/>
        <v>17322.881999999998</v>
      </c>
      <c r="L13" s="6">
        <v>295.26551576999998</v>
      </c>
      <c r="M13" s="6">
        <v>16.651888065999998</v>
      </c>
      <c r="N13" s="6">
        <v>2.0729380239999999</v>
      </c>
      <c r="O13" s="6">
        <f t="shared" si="3"/>
        <v>313.99034185999994</v>
      </c>
      <c r="P13" s="6">
        <v>496.27927480100004</v>
      </c>
      <c r="Q13" s="6">
        <f t="shared" si="1"/>
        <v>63.268880608787256</v>
      </c>
    </row>
    <row r="14" spans="1:17" x14ac:dyDescent="0.25">
      <c r="A14" s="19">
        <v>44166</v>
      </c>
      <c r="B14" s="2">
        <v>31847</v>
      </c>
      <c r="C14" s="2">
        <v>56527.51</v>
      </c>
      <c r="D14" s="2">
        <v>28845.914000000001</v>
      </c>
      <c r="E14" s="2">
        <v>3951522</v>
      </c>
      <c r="F14" s="2">
        <v>3768.24</v>
      </c>
      <c r="G14" s="2">
        <v>5270.1750000000002</v>
      </c>
      <c r="H14" s="5">
        <f t="shared" si="0"/>
        <v>71.501230983790848</v>
      </c>
      <c r="I14" s="5">
        <v>15997.50776</v>
      </c>
      <c r="J14" s="5">
        <v>2878.1920899999964</v>
      </c>
      <c r="K14" s="5">
        <f t="shared" si="2"/>
        <v>18875.699849999997</v>
      </c>
      <c r="L14" s="5">
        <v>339.05073284999997</v>
      </c>
      <c r="M14" s="5">
        <v>18.088352529510001</v>
      </c>
      <c r="N14" s="5">
        <v>2.7136882046299902</v>
      </c>
      <c r="O14" s="5">
        <f t="shared" si="3"/>
        <v>359.85277358413998</v>
      </c>
      <c r="P14" s="5">
        <v>556.20223374100101</v>
      </c>
      <c r="Q14" s="5">
        <f t="shared" si="1"/>
        <v>64.698189211463614</v>
      </c>
    </row>
    <row r="15" spans="1:17" x14ac:dyDescent="0.25">
      <c r="A15" s="20">
        <v>44197</v>
      </c>
      <c r="B15" s="3">
        <v>34461</v>
      </c>
      <c r="C15" s="3">
        <v>61464.9</v>
      </c>
      <c r="D15" s="3">
        <v>31362.842000000001</v>
      </c>
      <c r="E15" s="3">
        <v>4202712</v>
      </c>
      <c r="F15" s="3">
        <v>3983.7669999999998</v>
      </c>
      <c r="G15" s="3">
        <v>5746.9350000000004</v>
      </c>
      <c r="H15" s="6">
        <f t="shared" si="0"/>
        <v>69.319854844364855</v>
      </c>
      <c r="I15" s="6">
        <v>16154.855310000008</v>
      </c>
      <c r="J15" s="6">
        <v>2151.0052999999989</v>
      </c>
      <c r="K15" s="6">
        <f t="shared" si="2"/>
        <v>18305.860610000007</v>
      </c>
      <c r="L15" s="6">
        <v>358.44952311564907</v>
      </c>
      <c r="M15" s="6">
        <v>18.385233416999998</v>
      </c>
      <c r="N15" s="6">
        <v>1.9646401177699999</v>
      </c>
      <c r="O15" s="6">
        <f t="shared" si="3"/>
        <v>378.79939665041906</v>
      </c>
      <c r="P15" s="6">
        <v>602.12695019700004</v>
      </c>
      <c r="Q15" s="6">
        <f t="shared" si="1"/>
        <v>62.910221262556988</v>
      </c>
    </row>
    <row r="16" spans="1:17" x14ac:dyDescent="0.25">
      <c r="A16" s="19">
        <v>44228</v>
      </c>
      <c r="B16" s="2">
        <v>32690</v>
      </c>
      <c r="C16" s="2">
        <v>58239.43</v>
      </c>
      <c r="D16" s="2">
        <v>29692.342000000001</v>
      </c>
      <c r="E16" s="2">
        <v>4238466</v>
      </c>
      <c r="F16" s="2">
        <v>4039.127</v>
      </c>
      <c r="G16" s="2">
        <v>5431.2209999999995</v>
      </c>
      <c r="H16" s="5">
        <f t="shared" si="0"/>
        <v>74.368673268865322</v>
      </c>
      <c r="I16" s="5">
        <v>16743.805050000003</v>
      </c>
      <c r="J16" s="5">
        <v>2101.3731799999996</v>
      </c>
      <c r="K16" s="5">
        <f t="shared" si="2"/>
        <v>18845.178230000001</v>
      </c>
      <c r="L16" s="5">
        <v>363.48050810957062</v>
      </c>
      <c r="M16" s="5">
        <v>18.92499125794</v>
      </c>
      <c r="N16" s="5">
        <v>1.86183059442</v>
      </c>
      <c r="O16" s="5">
        <f t="shared" si="3"/>
        <v>384.26732996193061</v>
      </c>
      <c r="P16" s="5">
        <v>571.15198021299909</v>
      </c>
      <c r="Q16" s="5">
        <f t="shared" si="1"/>
        <v>67.279348277603134</v>
      </c>
    </row>
    <row r="17" spans="1:17" x14ac:dyDescent="0.25">
      <c r="A17" s="20">
        <v>44256</v>
      </c>
      <c r="B17" s="3">
        <v>36601</v>
      </c>
      <c r="C17" s="3">
        <v>64873.2</v>
      </c>
      <c r="D17" s="3">
        <v>33192.900999999998</v>
      </c>
      <c r="E17" s="3">
        <v>4184920</v>
      </c>
      <c r="F17" s="3">
        <v>4038.0279999999998</v>
      </c>
      <c r="G17" s="3">
        <v>6081.17</v>
      </c>
      <c r="H17" s="6">
        <f t="shared" si="0"/>
        <v>66.40215616402763</v>
      </c>
      <c r="I17" s="6">
        <v>19304.063279999998</v>
      </c>
      <c r="J17" s="6">
        <v>2101.2463900000012</v>
      </c>
      <c r="K17" s="6">
        <f t="shared" si="2"/>
        <v>21405.309669999999</v>
      </c>
      <c r="L17" s="6">
        <v>363.37405923</v>
      </c>
      <c r="M17" s="6">
        <v>21.553923664540001</v>
      </c>
      <c r="N17" s="6">
        <v>1.96549113087</v>
      </c>
      <c r="O17" s="6">
        <f t="shared" si="3"/>
        <v>386.89347402541</v>
      </c>
      <c r="P17" s="6">
        <v>643.06686671699799</v>
      </c>
      <c r="Q17" s="6">
        <f t="shared" si="1"/>
        <v>60.163801627751226</v>
      </c>
    </row>
    <row r="18" spans="1:17" x14ac:dyDescent="0.25">
      <c r="A18" s="1" t="s">
        <v>23</v>
      </c>
      <c r="B18" s="4">
        <f>SUM(B6:B17)</f>
        <v>249208</v>
      </c>
      <c r="C18" s="4">
        <f>SUM(C6:C17)</f>
        <v>440751.03</v>
      </c>
      <c r="D18" s="4">
        <f t="shared" ref="D18:F18" si="4">SUM(D6:D17)</f>
        <v>226023.81300000002</v>
      </c>
      <c r="E18" s="4">
        <f t="shared" si="4"/>
        <v>29336170</v>
      </c>
      <c r="F18" s="4">
        <f t="shared" si="4"/>
        <v>28217.863999999998</v>
      </c>
      <c r="G18" s="4">
        <f>SUM(G6:G17)</f>
        <v>41047.998</v>
      </c>
      <c r="H18" s="7">
        <f t="shared" si="0"/>
        <v>68.743581599277988</v>
      </c>
      <c r="I18" s="7">
        <f t="shared" ref="I18:O18" si="5">SUM(I6:I17)</f>
        <v>142981.71165000001</v>
      </c>
      <c r="J18" s="7">
        <f t="shared" si="5"/>
        <v>21697.81978999999</v>
      </c>
      <c r="K18" s="7">
        <f t="shared" si="5"/>
        <v>164679.53143999999</v>
      </c>
      <c r="L18" s="7">
        <f t="shared" si="5"/>
        <v>2539.1586056696597</v>
      </c>
      <c r="M18" s="7">
        <f t="shared" si="5"/>
        <v>157.63319841166</v>
      </c>
      <c r="N18" s="7">
        <f t="shared" si="5"/>
        <v>19.29967178207999</v>
      </c>
      <c r="O18" s="7">
        <f t="shared" si="5"/>
        <v>2716.0914758633994</v>
      </c>
      <c r="P18" s="7">
        <f>SUM(P6:P17)</f>
        <v>4309.6716158549971</v>
      </c>
      <c r="Q18" s="7">
        <f t="shared" si="1"/>
        <v>63.023165520803914</v>
      </c>
    </row>
    <row r="19" spans="1:17" x14ac:dyDescent="0.25">
      <c r="A19" s="11" t="s">
        <v>21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3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INDIGO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2022-04-26T05:37:57Z</cp:lastPrinted>
  <dcterms:created xsi:type="dcterms:W3CDTF">2018-10-29T04:00:07Z</dcterms:created>
  <dcterms:modified xsi:type="dcterms:W3CDTF">2022-04-26T05:38:26Z</dcterms:modified>
</cp:coreProperties>
</file>