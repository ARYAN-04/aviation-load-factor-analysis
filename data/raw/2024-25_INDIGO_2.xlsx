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INDIGO\"/>
    </mc:Choice>
  </mc:AlternateContent>
  <bookViews>
    <workbookView showHorizontalScroll="0" showVerticalScroll="0" xWindow="0" yWindow="0" windowWidth="24000" windowHeight="9735"/>
  </bookViews>
  <sheets>
    <sheet name="INDIGO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8" i="4" l="1"/>
  <c r="J18" i="4"/>
  <c r="Q16" i="4" l="1"/>
  <c r="Q15" i="4"/>
  <c r="Q14" i="4"/>
  <c r="Q13" i="4"/>
  <c r="Q12" i="4"/>
  <c r="Q11" i="4"/>
  <c r="Q10" i="4"/>
  <c r="Q9" i="4"/>
  <c r="Q8" i="4"/>
  <c r="Q7" i="4"/>
  <c r="Q6" i="4"/>
  <c r="H16" i="4"/>
  <c r="H15" i="4"/>
  <c r="H14" i="4"/>
  <c r="H13" i="4"/>
  <c r="H12" i="4"/>
  <c r="H11" i="4"/>
  <c r="H10" i="4"/>
  <c r="H9" i="4"/>
  <c r="H8" i="4"/>
  <c r="H7" i="4"/>
  <c r="H6" i="4"/>
  <c r="P18" i="4" l="1"/>
  <c r="O18" i="4"/>
  <c r="M18" i="4"/>
  <c r="L18" i="4"/>
  <c r="Q17" i="4" l="1"/>
  <c r="Q18" i="4"/>
  <c r="H17" i="4" l="1"/>
  <c r="F18" i="4" l="1"/>
  <c r="B18" i="4"/>
  <c r="N18" i="4"/>
  <c r="K18" i="4"/>
  <c r="G18" i="4"/>
  <c r="E18" i="4"/>
  <c r="D18" i="4"/>
  <c r="C18" i="4"/>
  <c r="H18" i="4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<sst xmlns="http://schemas.openxmlformats.org/spreadsheetml/2006/main" count="26" uniqueCount="24">
  <si>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</si>
  <si>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</si>
  <si>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</si>
  <si>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</si>
  <si>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</si>
  <si>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</si>
  <si>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</si>
  <si>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</si>
  <si>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</si>
  <si>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</si>
  <si>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</si>
  <si>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</si>
  <si>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</si>
  <si>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</si>
  <si>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</si>
  <si>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</si>
  <si>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</si>
  <si>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</si>
  <si>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</si>
  <si>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- 1.02 (इंडिगो) </t>
  </si>
  <si>
    <t>Table 1.02 (INDIGO)</t>
  </si>
  <si>
    <t>SOURCE:-  ICAO ATR FORM 'A' FURNISHED BY INDIGO</t>
  </si>
  <si>
    <t>MONTHLY TRAFFIC AND OPERATING STATISTICS OF INDIGO ON SCHEDULED INTERNATIONAL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</si>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</sst>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[$-409]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7">
    <xf numFmtId="0" fontId="0" fillId="0" borderId="0" xfId="0"/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5" fontId="5" fillId="0" borderId="2" xfId="1" applyNumberFormat="1" applyFont="1" applyFill="1" applyBorder="1" applyAlignment="1">
      <alignment horizontal="right" vertical="center"/>
    </xf>
    <xf numFmtId="165" fontId="5" fillId="0" borderId="3" xfId="1" applyNumberFormat="1" applyFont="1" applyFill="1" applyBorder="1" applyAlignment="1">
      <alignment horizontal="right" vertical="center"/>
    </xf>
    <xf numFmtId="167" fontId="0" fillId="0" borderId="0" xfId="0" applyNumberFormat="1" applyFont="1" applyBorder="1"/>
    <xf numFmtId="167" fontId="0" fillId="5" borderId="1" xfId="0" applyNumberFormat="1" applyFont="1" applyFill="1" applyBorder="1"/>
    <xf numFmtId="166" fontId="5" fillId="5" borderId="1" xfId="1" applyNumberFormat="1" applyFont="1" applyFill="1" applyBorder="1" applyAlignment="1">
      <alignment horizontal="right" vertical="center"/>
    </xf>
    <xf numFmtId="166" fontId="3" fillId="6" borderId="1" xfId="3" applyNumberFormat="1" applyFill="1" applyBorder="1" applyAlignment="1">
      <alignment horizontal="right" vertical="center"/>
    </xf>
    <xf numFmtId="166" fontId="6" fillId="4" borderId="1" xfId="3" applyNumberFormat="1" applyFont="1" applyBorder="1" applyAlignment="1">
      <alignment horizontal="right" vertical="center"/>
    </xf>
    <xf numFmtId="168" fontId="3" fillId="4" borderId="1" xfId="3" applyNumberFormat="1" applyBorder="1" applyAlignment="1">
      <alignment horizontal="center" vertical="center"/>
    </xf>
    <xf numFmtId="168" fontId="5" fillId="0" borderId="1" xfId="1" applyNumberFormat="1" applyFont="1" applyFill="1" applyBorder="1" applyAlignment="1">
      <alignment horizontal="center" vertical="center"/>
    </xf>
    <xf numFmtId="168" fontId="6" fillId="4" borderId="1" xfId="3" applyNumberFormat="1" applyFont="1" applyBorder="1" applyAlignment="1" applyProtection="1">
      <alignment horizontal="center" vertical="center" wrapText="1"/>
    </xf>
    <xf numFmtId="167" fontId="0" fillId="0" borderId="0" xfId="0" applyNumberFormat="1"/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115" zoomScaleNormal="100" zoomScaleSheetLayoutView="115" workbookViewId="0">
      <selection activeCell="I9" sqref="I9"/>
    </sheetView>
  </sheetViews>
  <sheetFormatPr defaultRowHeight="15" x14ac:dyDescent="0.25"/>
  <cols>
    <col min="1" max="1" width="15.7109375" customWidth="1"/>
    <col min="2" max="2" width="8.5703125" customWidth="1"/>
    <col min="3" max="3" width="10.42578125" customWidth="1"/>
    <col min="4" max="4" width="10.28515625" customWidth="1"/>
    <col min="5" max="5" width="12.7109375" customWidth="1"/>
    <col min="6" max="7" width="10" customWidth="1"/>
    <col min="8" max="8" width="8.42578125" customWidth="1"/>
    <col min="9" max="9" width="9.85546875" customWidth="1"/>
    <col min="10" max="10" width="9.7109375" customWidth="1"/>
    <col min="11" max="11" width="9.85546875" customWidth="1"/>
    <col min="12" max="12" width="11.7109375" customWidth="1"/>
    <col min="13" max="13" width="9.28515625" customWidth="1"/>
    <col min="14" max="14" width="9.42578125" customWidth="1"/>
    <col min="15" max="15" width="11.42578125" customWidth="1"/>
    <col min="16" max="16" width="10.42578125" customWidth="1"/>
    <col min="17" max="17" width="9.28515625" customWidth="1"/>
  </cols>
  <sheetData>
    <row r="1" spans="1:17" ht="15" customHeight="1" x14ac:dyDescent="0.25">
      <c r="A1" s="22" t="s">
        <v>19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5" customHeight="1" x14ac:dyDescent="0.25">
      <c r="A2" s="23" t="s">
        <v>20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15" customHeight="1" x14ac:dyDescent="0.25">
      <c r="A3" s="25" t="s">
        <v>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ht="30.6" customHeight="1" x14ac:dyDescent="0.25">
      <c r="A4" s="25" t="s">
        <v>0</v>
      </c>
      <c r="B4" s="25" t="s">
        <v>1</v>
      </c>
      <c r="C4" s="25"/>
      <c r="D4" s="25"/>
      <c r="E4" s="25" t="s">
        <v>2</v>
      </c>
      <c r="F4" s="26"/>
      <c r="G4" s="19" t="s">
        <v>3</v>
      </c>
      <c r="H4" s="19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9" t="s">
        <v>7</v>
      </c>
      <c r="Q4" s="19" t="s">
        <v>8</v>
      </c>
    </row>
    <row r="5" spans="1:17" ht="101.25" customHeight="1" x14ac:dyDescent="0.25">
      <c r="A5" s="25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20"/>
      <c r="H5" s="20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20"/>
      <c r="Q5" s="20"/>
    </row>
    <row r="6" spans="1:17" x14ac:dyDescent="0.25">
      <c r="A6" s="15">
        <v>45383</v>
      </c>
      <c r="B6" s="3">
        <v>6042</v>
      </c>
      <c r="C6" s="3">
        <v>23383.45</v>
      </c>
      <c r="D6" s="3">
        <v>15532.034</v>
      </c>
      <c r="E6" s="3">
        <v>1010979</v>
      </c>
      <c r="F6" s="3">
        <v>2664.6129999999998</v>
      </c>
      <c r="G6" s="3">
        <v>3202.538</v>
      </c>
      <c r="H6" s="4">
        <f t="shared" ref="H6:H16" si="0">F6/G6*100</f>
        <v>83.203165739173116</v>
      </c>
      <c r="I6" s="4">
        <v>3366.9920000000002</v>
      </c>
      <c r="J6" s="4">
        <v>5.6840000000000002</v>
      </c>
      <c r="K6" s="4">
        <v>3372.6760000000004</v>
      </c>
      <c r="L6" s="4">
        <v>239.81481500000001</v>
      </c>
      <c r="M6" s="4">
        <v>9.4847230000000007</v>
      </c>
      <c r="N6" s="4">
        <v>1.3086E-2</v>
      </c>
      <c r="O6" s="4">
        <v>249.312624</v>
      </c>
      <c r="P6" s="4">
        <v>325.50734499999999</v>
      </c>
      <c r="Q6" s="4">
        <f t="shared" ref="Q6:Q16" si="1">O6/P6*100</f>
        <v>76.592011771654498</v>
      </c>
    </row>
    <row r="7" spans="1:17" x14ac:dyDescent="0.25">
      <c r="A7" s="16">
        <v>45413</v>
      </c>
      <c r="B7" s="1">
        <v>6433</v>
      </c>
      <c r="C7" s="1">
        <v>24480.2</v>
      </c>
      <c r="D7" s="9">
        <v>16337.753000000001</v>
      </c>
      <c r="E7" s="1">
        <v>1121897</v>
      </c>
      <c r="F7" s="1">
        <v>2930.4389999999999</v>
      </c>
      <c r="G7" s="1">
        <v>3347.3440000000001</v>
      </c>
      <c r="H7" s="2">
        <f t="shared" si="0"/>
        <v>87.545200015295705</v>
      </c>
      <c r="I7" s="2">
        <v>3755.2333299999996</v>
      </c>
      <c r="J7" s="2">
        <v>6.3635000000000002</v>
      </c>
      <c r="K7" s="2">
        <v>3761.5968299999995</v>
      </c>
      <c r="L7" s="2">
        <v>263.73923599999995</v>
      </c>
      <c r="M7" s="2">
        <v>10.625392067509996</v>
      </c>
      <c r="N7" s="2">
        <v>1.3745208100000001E-2</v>
      </c>
      <c r="O7" s="2">
        <v>274.37837327560999</v>
      </c>
      <c r="P7" s="2">
        <v>341.91465299999999</v>
      </c>
      <c r="Q7" s="2">
        <f t="shared" si="1"/>
        <v>80.247620529913348</v>
      </c>
    </row>
    <row r="8" spans="1:17" x14ac:dyDescent="0.25">
      <c r="A8" s="15">
        <v>45444</v>
      </c>
      <c r="B8" s="3">
        <v>6542</v>
      </c>
      <c r="C8" s="3">
        <v>24981.083333333332</v>
      </c>
      <c r="D8" s="11">
        <v>16692.972000000002</v>
      </c>
      <c r="E8" s="3">
        <v>1093594</v>
      </c>
      <c r="F8" s="3">
        <v>2870.3049999999998</v>
      </c>
      <c r="G8" s="3">
        <v>3404.0540000000001</v>
      </c>
      <c r="H8" s="4">
        <f t="shared" si="0"/>
        <v>84.3201958605827</v>
      </c>
      <c r="I8" s="4">
        <v>3330.7910000000002</v>
      </c>
      <c r="J8" s="4">
        <v>6.8719999999999999</v>
      </c>
      <c r="K8" s="4">
        <v>3337.663</v>
      </c>
      <c r="L8" s="4">
        <v>258.326528</v>
      </c>
      <c r="M8" s="4">
        <v>9.2189599999999992</v>
      </c>
      <c r="N8" s="4">
        <v>1.5771E-2</v>
      </c>
      <c r="O8" s="4">
        <v>267.56125900000001</v>
      </c>
      <c r="P8" s="4">
        <v>349.836071</v>
      </c>
      <c r="Q8" s="4">
        <f t="shared" si="1"/>
        <v>76.481895716236764</v>
      </c>
    </row>
    <row r="9" spans="1:17" x14ac:dyDescent="0.25">
      <c r="A9" s="16">
        <v>45474</v>
      </c>
      <c r="B9" s="1">
        <v>6929</v>
      </c>
      <c r="C9" s="1">
        <v>26604.583333333332</v>
      </c>
      <c r="D9" s="10">
        <v>17696.723999999998</v>
      </c>
      <c r="E9" s="1">
        <v>1120074</v>
      </c>
      <c r="F9" s="1">
        <v>2941.6990000000001</v>
      </c>
      <c r="G9" s="1">
        <v>3577.183</v>
      </c>
      <c r="H9" s="2">
        <f t="shared" si="0"/>
        <v>82.235071563294355</v>
      </c>
      <c r="I9" s="2">
        <v>3751.451</v>
      </c>
      <c r="J9" s="2">
        <v>14.082000000000001</v>
      </c>
      <c r="K9" s="13">
        <v>3765.5329999999999</v>
      </c>
      <c r="L9" s="2">
        <v>264.75229899999999</v>
      </c>
      <c r="M9" s="2">
        <v>10.201548000000001</v>
      </c>
      <c r="N9" s="2">
        <v>3.1486E-2</v>
      </c>
      <c r="O9" s="13">
        <v>274.98533299999997</v>
      </c>
      <c r="P9" s="2">
        <v>365.03042900000003</v>
      </c>
      <c r="Q9" s="13">
        <f t="shared" si="1"/>
        <v>75.332167171192182</v>
      </c>
    </row>
    <row r="10" spans="1:17" x14ac:dyDescent="0.25">
      <c r="A10" s="15">
        <v>45505</v>
      </c>
      <c r="B10" s="3">
        <v>7169</v>
      </c>
      <c r="C10" s="3">
        <v>27517.15</v>
      </c>
      <c r="D10" s="11">
        <v>18330.528999999999</v>
      </c>
      <c r="E10" s="3">
        <v>1138708</v>
      </c>
      <c r="F10" s="3">
        <v>3003.2739999999999</v>
      </c>
      <c r="G10" s="3">
        <v>3678.9929999999999</v>
      </c>
      <c r="H10" s="4">
        <f t="shared" si="0"/>
        <v>81.633044694567232</v>
      </c>
      <c r="I10" s="4">
        <v>3687.0990000000002</v>
      </c>
      <c r="J10" s="4">
        <v>24.132000000000001</v>
      </c>
      <c r="K10" s="4">
        <v>3711.2310000000002</v>
      </c>
      <c r="L10" s="4">
        <v>270.29444599999999</v>
      </c>
      <c r="M10" s="4">
        <v>10.018885000000001</v>
      </c>
      <c r="N10" s="4">
        <v>5.6610999999999995E-2</v>
      </c>
      <c r="O10" s="4">
        <v>280.36994199999998</v>
      </c>
      <c r="P10" s="4">
        <v>357.74515600000001</v>
      </c>
      <c r="Q10" s="4">
        <f t="shared" si="1"/>
        <v>78.37141532113435</v>
      </c>
    </row>
    <row r="11" spans="1:17" x14ac:dyDescent="0.25">
      <c r="A11" s="16">
        <v>45536</v>
      </c>
      <c r="B11" s="1">
        <v>7125</v>
      </c>
      <c r="C11" s="1">
        <v>27117.166666666668</v>
      </c>
      <c r="D11" s="10">
        <v>18038.09</v>
      </c>
      <c r="E11" s="1">
        <v>1109716</v>
      </c>
      <c r="F11" s="1">
        <v>2872.2260000000001</v>
      </c>
      <c r="G11" s="1">
        <v>3594.9380000000001</v>
      </c>
      <c r="H11" s="2">
        <f t="shared" si="0"/>
        <v>79.896398769603266</v>
      </c>
      <c r="I11" s="2">
        <v>3881.6579999999999</v>
      </c>
      <c r="J11" s="2">
        <v>23.053000000000001</v>
      </c>
      <c r="K11" s="13">
        <v>3904.7109999999998</v>
      </c>
      <c r="L11" s="2">
        <v>258.50049899999999</v>
      </c>
      <c r="M11" s="2">
        <v>10.827658999999999</v>
      </c>
      <c r="N11" s="2">
        <v>5.6360999999999994E-2</v>
      </c>
      <c r="O11" s="13">
        <v>269.38451899999995</v>
      </c>
      <c r="P11" s="2">
        <v>340.17925799999995</v>
      </c>
      <c r="Q11" s="13">
        <f t="shared" si="1"/>
        <v>79.188990117674962</v>
      </c>
    </row>
    <row r="12" spans="1:17" x14ac:dyDescent="0.25">
      <c r="A12" s="15">
        <v>45566</v>
      </c>
      <c r="B12" s="3">
        <v>7257</v>
      </c>
      <c r="C12" s="3">
        <v>27764.400000000001</v>
      </c>
      <c r="D12" s="11">
        <v>18450.131000000001</v>
      </c>
      <c r="E12" s="3">
        <v>1173741</v>
      </c>
      <c r="F12" s="3">
        <v>3044.4140000000002</v>
      </c>
      <c r="G12" s="3">
        <v>3763.4009999999998</v>
      </c>
      <c r="H12" s="4">
        <f t="shared" si="0"/>
        <v>80.895285939499956</v>
      </c>
      <c r="I12" s="4">
        <v>4173.1149999999998</v>
      </c>
      <c r="J12" s="4">
        <v>14.112</v>
      </c>
      <c r="K12" s="4">
        <v>4187.2269999999999</v>
      </c>
      <c r="L12" s="4">
        <v>273.99649900000003</v>
      </c>
      <c r="M12" s="4">
        <v>12.254322</v>
      </c>
      <c r="N12" s="4">
        <v>3.1684999999999998E-2</v>
      </c>
      <c r="O12" s="4">
        <v>286.28250600000001</v>
      </c>
      <c r="P12" s="4">
        <v>352.31513200000001</v>
      </c>
      <c r="Q12" s="4">
        <f t="shared" si="1"/>
        <v>81.257510676549643</v>
      </c>
    </row>
    <row r="13" spans="1:17" x14ac:dyDescent="0.25">
      <c r="A13" s="16">
        <v>45597</v>
      </c>
      <c r="B13" s="1">
        <v>7075</v>
      </c>
      <c r="C13" s="1">
        <v>27334.166666666668</v>
      </c>
      <c r="D13" s="10">
        <v>18110.311000000002</v>
      </c>
      <c r="E13" s="1">
        <v>1198155</v>
      </c>
      <c r="F13" s="1">
        <v>3115.645</v>
      </c>
      <c r="G13" s="1">
        <v>3573.5509999999999</v>
      </c>
      <c r="H13" s="2">
        <f t="shared" si="0"/>
        <v>87.186246957158303</v>
      </c>
      <c r="I13" s="2">
        <v>3109.1779999999999</v>
      </c>
      <c r="J13" s="2">
        <v>10.387</v>
      </c>
      <c r="K13" s="13">
        <v>3119.5650000000001</v>
      </c>
      <c r="L13" s="2">
        <v>280.40798599999999</v>
      </c>
      <c r="M13" s="2">
        <v>7.9576769999999994</v>
      </c>
      <c r="N13" s="2">
        <v>2.0667000000000001E-2</v>
      </c>
      <c r="O13" s="13">
        <v>288.38633000000004</v>
      </c>
      <c r="P13" s="2">
        <v>347.82276000000002</v>
      </c>
      <c r="Q13" s="13">
        <f t="shared" si="1"/>
        <v>82.911862926968908</v>
      </c>
    </row>
    <row r="14" spans="1:17" x14ac:dyDescent="0.25">
      <c r="A14" s="15">
        <v>45627</v>
      </c>
      <c r="B14" s="3">
        <v>7874</v>
      </c>
      <c r="C14" s="3">
        <v>30392.799999999999</v>
      </c>
      <c r="D14" s="11">
        <v>19928.152999999998</v>
      </c>
      <c r="E14" s="3">
        <v>1335486</v>
      </c>
      <c r="F14" s="3">
        <v>3497.6840000000002</v>
      </c>
      <c r="G14" s="3">
        <v>4034.4</v>
      </c>
      <c r="H14" s="4">
        <f t="shared" si="0"/>
        <v>86.696510013880641</v>
      </c>
      <c r="I14" s="4">
        <v>3572.6759999999999</v>
      </c>
      <c r="J14" s="12">
        <v>11.709</v>
      </c>
      <c r="K14" s="4">
        <v>3584.3849999999998</v>
      </c>
      <c r="L14" s="4">
        <v>314.79132600000003</v>
      </c>
      <c r="M14" s="4">
        <v>9.4208629999999989</v>
      </c>
      <c r="N14" s="4">
        <v>2.7138000000000002E-2</v>
      </c>
      <c r="O14" s="4">
        <v>324.239327</v>
      </c>
      <c r="P14" s="4">
        <v>382.044736</v>
      </c>
      <c r="Q14" s="4">
        <f t="shared" si="1"/>
        <v>84.869465915112102</v>
      </c>
    </row>
    <row r="15" spans="1:17" x14ac:dyDescent="0.25">
      <c r="A15" s="16">
        <v>45658</v>
      </c>
      <c r="B15" s="1">
        <v>8050</v>
      </c>
      <c r="C15" s="1">
        <v>31081.9</v>
      </c>
      <c r="D15" s="8">
        <v>20352.866000000002</v>
      </c>
      <c r="E15" s="1">
        <v>1389506</v>
      </c>
      <c r="F15" s="1">
        <v>3646.0630000000001</v>
      </c>
      <c r="G15" s="1">
        <v>4149.7049999999999</v>
      </c>
      <c r="H15" s="2">
        <f t="shared" si="0"/>
        <v>87.86318545535164</v>
      </c>
      <c r="I15" s="2">
        <v>3667.0140000000001</v>
      </c>
      <c r="J15" s="2">
        <v>14.852</v>
      </c>
      <c r="K15" s="13">
        <v>3681.866</v>
      </c>
      <c r="L15" s="2">
        <v>328.14509899999996</v>
      </c>
      <c r="M15" s="2">
        <v>9.6880799999999994</v>
      </c>
      <c r="N15" s="2">
        <v>3.6713000000000003E-2</v>
      </c>
      <c r="O15" s="13">
        <v>337.86989199999999</v>
      </c>
      <c r="P15" s="2">
        <v>393.269722</v>
      </c>
      <c r="Q15" s="13">
        <f t="shared" si="1"/>
        <v>85.913019258573883</v>
      </c>
    </row>
    <row r="16" spans="1:17" x14ac:dyDescent="0.25">
      <c r="A16" s="15">
        <v>45689</v>
      </c>
      <c r="B16" s="3">
        <v>7332</v>
      </c>
      <c r="C16" s="3">
        <v>28284.633333333335</v>
      </c>
      <c r="D16" s="3">
        <v>18574.654999999999</v>
      </c>
      <c r="E16" s="3">
        <v>1250961</v>
      </c>
      <c r="F16" s="3">
        <v>3281.7089999999998</v>
      </c>
      <c r="G16" s="3">
        <v>3776.299</v>
      </c>
      <c r="H16" s="4">
        <f t="shared" si="0"/>
        <v>86.902784975448171</v>
      </c>
      <c r="I16" s="4">
        <v>3952.9369999999999</v>
      </c>
      <c r="J16" s="4">
        <v>10.965999999999999</v>
      </c>
      <c r="K16" s="4">
        <v>3963.9029999999998</v>
      </c>
      <c r="L16" s="4">
        <v>295.35358000000002</v>
      </c>
      <c r="M16" s="4">
        <v>10.491515999999999</v>
      </c>
      <c r="N16" s="4">
        <v>2.4945000000000002E-2</v>
      </c>
      <c r="O16" s="4">
        <v>305.87004100000001</v>
      </c>
      <c r="P16" s="4">
        <v>356.50225</v>
      </c>
      <c r="Q16" s="4">
        <f t="shared" si="1"/>
        <v>85.797506467350487</v>
      </c>
    </row>
    <row r="17" spans="1:17" x14ac:dyDescent="0.25">
      <c r="A17" s="16">
        <v>45717</v>
      </c>
      <c r="B17" s="1">
        <v>8231</v>
      </c>
      <c r="C17" s="1">
        <v>31657.466666666667</v>
      </c>
      <c r="D17" s="1">
        <v>20915.109</v>
      </c>
      <c r="E17" s="1">
        <v>1288619</v>
      </c>
      <c r="F17" s="1">
        <v>3390.03</v>
      </c>
      <c r="G17" s="1">
        <v>4264.6949999999997</v>
      </c>
      <c r="H17" s="2">
        <f t="shared" ref="H17:H18" si="2">F17/G17*100</f>
        <v>79.49056145867408</v>
      </c>
      <c r="I17" s="2">
        <v>5036.2340000000004</v>
      </c>
      <c r="J17" s="18">
        <v>10.677999999999999</v>
      </c>
      <c r="K17" s="13">
        <v>5046.9120000000003</v>
      </c>
      <c r="L17" s="2">
        <v>305.10257299999995</v>
      </c>
      <c r="M17" s="2">
        <v>13.802925</v>
      </c>
      <c r="N17" s="2">
        <v>2.4864999999999998E-2</v>
      </c>
      <c r="O17" s="13">
        <v>318.93036299999994</v>
      </c>
      <c r="P17" s="2">
        <v>400.39326699999998</v>
      </c>
      <c r="Q17" s="13">
        <f t="shared" ref="Q17:Q18" si="3">O17/P17*100</f>
        <v>79.654277253368491</v>
      </c>
    </row>
    <row r="18" spans="1:17" x14ac:dyDescent="0.25">
      <c r="A18" s="17" t="s">
        <v>23</v>
      </c>
      <c r="B18" s="5">
        <f>SUM(B6:B17)</f>
        <v>86059</v>
      </c>
      <c r="C18" s="5">
        <f t="shared" ref="C18:N18" si="4">SUM(C6:C17)</f>
        <v>330599</v>
      </c>
      <c r="D18" s="5">
        <f t="shared" si="4"/>
        <v>218959.32699999999</v>
      </c>
      <c r="E18" s="5">
        <f t="shared" si="4"/>
        <v>14231436</v>
      </c>
      <c r="F18" s="5">
        <f t="shared" si="4"/>
        <v>37258.101000000002</v>
      </c>
      <c r="G18" s="5">
        <f t="shared" si="4"/>
        <v>44367.100999999995</v>
      </c>
      <c r="H18" s="6">
        <f t="shared" si="2"/>
        <v>83.976866101754098</v>
      </c>
      <c r="I18" s="6">
        <f>SUM(I6:I17)</f>
        <v>45284.378330000007</v>
      </c>
      <c r="J18" s="6">
        <f t="shared" si="4"/>
        <v>152.8905</v>
      </c>
      <c r="K18" s="6">
        <f t="shared" si="4"/>
        <v>45437.268830000001</v>
      </c>
      <c r="L18" s="6">
        <f>SUM(L6:L17)</f>
        <v>3353.224886</v>
      </c>
      <c r="M18" s="6">
        <f>SUM(M6:M17)</f>
        <v>123.99255006751</v>
      </c>
      <c r="N18" s="6">
        <f t="shared" si="4"/>
        <v>0.35307320809999998</v>
      </c>
      <c r="O18" s="14">
        <f>SUM(O6:O17)</f>
        <v>3477.5705092756107</v>
      </c>
      <c r="P18" s="6">
        <f>SUM(P6:P17)</f>
        <v>4312.5607790000004</v>
      </c>
      <c r="Q18" s="14">
        <f t="shared" si="3"/>
        <v>80.638179668322081</v>
      </c>
    </row>
    <row r="19" spans="1:17" ht="15" customHeight="1" x14ac:dyDescent="0.25">
      <c r="A19" s="21" t="s">
        <v>21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4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2022-04-26T05:39:08Z</cp:lastPrinted>
  <dcterms:created xsi:type="dcterms:W3CDTF">2018-10-29T04:00:09Z</dcterms:created>
  <dcterms:modified xsi:type="dcterms:W3CDTF">2025-11-18T05:25:22Z</dcterms:modified>
</cp:coreProperties>
</file>