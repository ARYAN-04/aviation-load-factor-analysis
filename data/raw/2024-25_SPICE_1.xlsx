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PICEJET\"/>
    </mc:Choice>
  </mc:AlternateContent>
  <bookViews>
    <workbookView xWindow="0" yWindow="0" windowWidth="24000" windowHeight="9735"/>
  </bookViews>
  <sheets>
    <sheet name="SPICEJET" sheetId="1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3" l="1"/>
  <c r="H6" i="13"/>
  <c r="Q17" i="13" l="1"/>
  <c r="Q7" i="13" l="1"/>
  <c r="Q8" i="13"/>
  <c r="Q9" i="13"/>
  <c r="Q10" i="13"/>
  <c r="Q11" i="13"/>
  <c r="Q12" i="13"/>
  <c r="Q13" i="13"/>
  <c r="Q14" i="13"/>
  <c r="Q15" i="13"/>
  <c r="Q16" i="13"/>
  <c r="H7" i="13"/>
  <c r="H8" i="13"/>
  <c r="H9" i="13"/>
  <c r="H10" i="13"/>
  <c r="H11" i="13"/>
  <c r="H12" i="13"/>
  <c r="H13" i="13"/>
  <c r="H14" i="13"/>
  <c r="H15" i="13"/>
  <c r="H16" i="13"/>
  <c r="H17" i="13"/>
  <c r="I18" i="13" l="1"/>
  <c r="C18" i="13"/>
  <c r="B18" i="13"/>
  <c r="P18" i="13"/>
  <c r="O18" i="13"/>
  <c r="M18" i="13"/>
  <c r="L18" i="13"/>
  <c r="K18" i="13"/>
  <c r="G18" i="13"/>
  <c r="F18" i="13"/>
  <c r="E18" i="13"/>
  <c r="D18" i="13"/>
  <c r="H18" i="13" l="1"/>
  <c r="Q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<sst xmlns="http://schemas.openxmlformats.org/spreadsheetml/2006/main" count="26" uniqueCount="24">
  <si>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</si>
  <si>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</si>
  <si>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</si>
  <si>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</si>
  <si>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</si>
  <si>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</si>
  <si>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</si>
  <si>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</si>
  <si>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</si>
  <si>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</si>
  <si>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</si>
  <si>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</si>
  <si>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</si>
  <si>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</si>
  <si>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</si>
  <si>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</si>
  <si>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</si>
  <si>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</si>
  <si>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</si>
  <si>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(स्पाइसजेट) </t>
  </si>
  <si>
    <t>Table 1.01 (SPICEJET)</t>
  </si>
  <si>
    <t>SOURCE:-  ICAO ATR FORM 'A' FURNISHED BY SPICEJET</t>
  </si>
  <si>
    <t>MONTHLY TRAFFIC AND OPERATING STATISTICS OFSPICEJET ON SCHEDULED DOMESTIC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</si>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</sst>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  <numFmt numFmtId="169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66" fontId="0" fillId="5" borderId="1" xfId="1" applyNumberFormat="1" applyFont="1" applyFill="1" applyBorder="1" applyAlignment="1">
      <alignment horizontal="right" vertical="center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0" fontId="1" fillId="2" borderId="0" xfId="0" applyFont="1" applyFill="1" applyBorder="1" applyAlignment="1" applyProtection="1">
      <alignment horizontal="left" vertical="center" wrapText="1"/>
    </xf>
    <xf numFmtId="169" fontId="3" fillId="4" borderId="1" xfId="3" applyNumberFormat="1" applyBorder="1" applyAlignment="1">
      <alignment horizontal="center" vertical="center"/>
    </xf>
    <xf numFmtId="169" fontId="0" fillId="0" borderId="1" xfId="1" applyNumberFormat="1" applyFont="1" applyBorder="1" applyAlignment="1">
      <alignment horizontal="center" vertical="center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168" fontId="2" fillId="3" borderId="1" xfId="2" applyNumberFormat="1" applyFont="1" applyBorder="1" applyAlignment="1">
      <alignment vertical="center"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2" fillId="3" borderId="1" xfId="2" applyNumberFormat="1" applyFont="1" applyBorder="1" applyAlignment="1" applyProtection="1">
      <alignment horizontal="center" vertical="center" wrapText="1"/>
    </xf>
    <xf numFmtId="168" fontId="2" fillId="3" borderId="1" xfId="2" applyNumberFormat="1" applyFont="1" applyBorder="1" applyAlignment="1">
      <alignment vertical="center"/>
    </xf>
    <xf numFmtId="168" fontId="2" fillId="3" borderId="1" xfId="2" applyNumberFormat="1" applyFont="1" applyBorder="1" applyAlignment="1">
      <alignment horizontal="center" vertical="center" textRotation="90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zoomScale="115" zoomScaleNormal="115" zoomScaleSheetLayoutView="130" workbookViewId="0">
      <selection activeCell="O12" sqref="O12"/>
    </sheetView>
  </sheetViews>
  <sheetFormatPr defaultRowHeight="15" x14ac:dyDescent="0.25"/>
  <cols>
    <col min="1" max="1" width="14.140625" customWidth="1"/>
    <col min="2" max="2" width="8" customWidth="1"/>
    <col min="3" max="4" width="8.42578125" customWidth="1"/>
    <col min="5" max="5" width="11.5703125" customWidth="1"/>
    <col min="6" max="7" width="10.140625" customWidth="1"/>
    <col min="8" max="8" width="6.42578125" customWidth="1"/>
    <col min="9" max="9" width="9.5703125" customWidth="1"/>
    <col min="10" max="10" width="4.85546875" customWidth="1"/>
    <col min="11" max="11" width="10.42578125" customWidth="1"/>
    <col min="12" max="12" width="9.140625" customWidth="1"/>
    <col min="13" max="13" width="8.7109375" customWidth="1"/>
    <col min="14" max="14" width="5.5703125" customWidth="1"/>
    <col min="15" max="15" width="9.42578125" customWidth="1"/>
    <col min="16" max="16" width="11" customWidth="1"/>
    <col min="17" max="17" width="6.5703125" customWidth="1"/>
  </cols>
  <sheetData>
    <row r="1" spans="1:17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0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3" t="s">
        <v>3</v>
      </c>
      <c r="H4" s="13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3" t="s">
        <v>7</v>
      </c>
      <c r="Q4" s="13" t="s">
        <v>8</v>
      </c>
    </row>
    <row r="5" spans="1:17" ht="124.5" customHeight="1" x14ac:dyDescent="0.25">
      <c r="A5" s="23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4"/>
      <c r="H5" s="2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4"/>
      <c r="Q5" s="14"/>
    </row>
    <row r="6" spans="1:17" x14ac:dyDescent="0.25">
      <c r="A6" s="11">
        <v>45383</v>
      </c>
      <c r="B6" s="2">
        <v>4397</v>
      </c>
      <c r="C6" s="2">
        <v>6795.666666666667</v>
      </c>
      <c r="D6" s="2">
        <v>4121.634</v>
      </c>
      <c r="E6" s="2">
        <v>617484</v>
      </c>
      <c r="F6" s="2">
        <v>629.39909999999998</v>
      </c>
      <c r="G6" s="2">
        <v>692.78855700000008</v>
      </c>
      <c r="H6" s="5">
        <f t="shared" ref="H6:H18" si="0">F6/G6*100</f>
        <v>90.850100458573237</v>
      </c>
      <c r="I6" s="5">
        <v>2316.7336099999998</v>
      </c>
      <c r="J6" s="5"/>
      <c r="K6" s="5">
        <v>2316.7336099999998</v>
      </c>
      <c r="L6" s="5">
        <v>47.204932500000005</v>
      </c>
      <c r="M6" s="5">
        <v>2.7736515722000004</v>
      </c>
      <c r="N6" s="5">
        <v>0</v>
      </c>
      <c r="O6" s="5">
        <v>49.9785840722</v>
      </c>
      <c r="P6" s="5">
        <v>63.549329499999999</v>
      </c>
      <c r="Q6" s="5">
        <f t="shared" ref="Q6" si="1">O6/P6*100</f>
        <v>78.645336568342543</v>
      </c>
    </row>
    <row r="7" spans="1:17" x14ac:dyDescent="0.25">
      <c r="A7" s="12">
        <v>45413</v>
      </c>
      <c r="B7" s="3">
        <v>4004</v>
      </c>
      <c r="C7" s="3">
        <v>6028.0333333333338</v>
      </c>
      <c r="D7" s="3">
        <v>3596.7779999999998</v>
      </c>
      <c r="E7" s="3">
        <v>554464</v>
      </c>
      <c r="F7" s="3">
        <v>549.30541900000003</v>
      </c>
      <c r="G7" s="3">
        <v>583.60390099999995</v>
      </c>
      <c r="H7" s="6">
        <f t="shared" si="0"/>
        <v>94.122986165577402</v>
      </c>
      <c r="I7" s="6">
        <v>2206.6158600000003</v>
      </c>
      <c r="J7" s="6"/>
      <c r="K7" s="6">
        <v>2206.6158600000003</v>
      </c>
      <c r="L7" s="6">
        <v>41.197906424999971</v>
      </c>
      <c r="M7" s="6">
        <v>2.5622680941799998</v>
      </c>
      <c r="N7" s="6">
        <v>0</v>
      </c>
      <c r="O7" s="6">
        <v>43.760174519179969</v>
      </c>
      <c r="P7" s="6">
        <v>52.936166</v>
      </c>
      <c r="Q7" s="6">
        <f t="shared" ref="Q7:Q18" si="2">O7/P7*100</f>
        <v>82.665931112540278</v>
      </c>
    </row>
    <row r="8" spans="1:17" x14ac:dyDescent="0.25">
      <c r="A8" s="11">
        <v>45444</v>
      </c>
      <c r="B8" s="2">
        <v>3637</v>
      </c>
      <c r="C8" s="2">
        <v>5548.8166666666666</v>
      </c>
      <c r="D8" s="2">
        <v>3313</v>
      </c>
      <c r="E8" s="2">
        <v>499538</v>
      </c>
      <c r="F8" s="2">
        <v>499.20283599999999</v>
      </c>
      <c r="G8" s="2">
        <v>545.60961899999995</v>
      </c>
      <c r="H8" s="5">
        <f t="shared" si="0"/>
        <v>91.494507907493471</v>
      </c>
      <c r="I8" s="5">
        <v>2304.6969600000002</v>
      </c>
      <c r="J8" s="5"/>
      <c r="K8" s="8">
        <v>2304.6969600000002</v>
      </c>
      <c r="L8" s="5">
        <v>37.440212699999989</v>
      </c>
      <c r="M8" s="5">
        <v>2.68198589507</v>
      </c>
      <c r="N8" s="5">
        <v>0</v>
      </c>
      <c r="O8" s="8">
        <v>40.122198595069989</v>
      </c>
      <c r="P8" s="5">
        <v>48.787058500000001</v>
      </c>
      <c r="Q8" s="5">
        <f t="shared" si="2"/>
        <v>82.239429530415293</v>
      </c>
    </row>
    <row r="9" spans="1:17" x14ac:dyDescent="0.25">
      <c r="A9" s="12">
        <v>45474</v>
      </c>
      <c r="B9" s="3">
        <v>3115</v>
      </c>
      <c r="C9" s="3">
        <v>4610.1000000000004</v>
      </c>
      <c r="D9" s="3">
        <v>2650.7020000000002</v>
      </c>
      <c r="E9" s="3">
        <v>405360</v>
      </c>
      <c r="F9" s="3">
        <v>380.15836099999996</v>
      </c>
      <c r="G9" s="3">
        <v>421.08055300000001</v>
      </c>
      <c r="H9" s="6">
        <f t="shared" si="0"/>
        <v>90.281623858321453</v>
      </c>
      <c r="I9" s="6">
        <v>1955.2551900000021</v>
      </c>
      <c r="J9" s="6"/>
      <c r="K9" s="6">
        <v>1955.2551900000021</v>
      </c>
      <c r="L9" s="6">
        <v>28.511877075000005</v>
      </c>
      <c r="M9" s="6">
        <v>2.1277934833700023</v>
      </c>
      <c r="N9" s="6">
        <v>0</v>
      </c>
      <c r="O9" s="6">
        <v>30.639670558370007</v>
      </c>
      <c r="P9" s="6">
        <v>37.332985000000001</v>
      </c>
      <c r="Q9" s="6">
        <f t="shared" si="2"/>
        <v>82.071311893142223</v>
      </c>
    </row>
    <row r="10" spans="1:17" x14ac:dyDescent="0.25">
      <c r="A10" s="11">
        <v>45505</v>
      </c>
      <c r="B10" s="2">
        <v>2729</v>
      </c>
      <c r="C10" s="2">
        <v>3877.55</v>
      </c>
      <c r="D10" s="2">
        <v>2163.2330000000002</v>
      </c>
      <c r="E10" s="2">
        <v>302378</v>
      </c>
      <c r="F10" s="2">
        <v>268.36422199999998</v>
      </c>
      <c r="G10" s="2">
        <v>331.27997399999998</v>
      </c>
      <c r="H10" s="5">
        <f t="shared" si="0"/>
        <v>81.008283947764383</v>
      </c>
      <c r="I10" s="5">
        <v>1533.1017900000022</v>
      </c>
      <c r="J10" s="5"/>
      <c r="K10" s="8">
        <v>1533.1017900000022</v>
      </c>
      <c r="L10" s="5">
        <v>20.127316650000001</v>
      </c>
      <c r="M10" s="5">
        <v>1.5949193745800001</v>
      </c>
      <c r="N10" s="5">
        <v>0</v>
      </c>
      <c r="O10" s="8">
        <v>21.722236024580003</v>
      </c>
      <c r="P10" s="5">
        <v>28.971209500000001</v>
      </c>
      <c r="Q10" s="5">
        <f t="shared" si="2"/>
        <v>74.978699196455707</v>
      </c>
    </row>
    <row r="11" spans="1:17" x14ac:dyDescent="0.25">
      <c r="A11" s="12">
        <v>45536</v>
      </c>
      <c r="B11" s="3">
        <v>2281</v>
      </c>
      <c r="C11" s="3">
        <v>3276.95</v>
      </c>
      <c r="D11" s="3">
        <v>1865.316</v>
      </c>
      <c r="E11" s="3">
        <v>261053</v>
      </c>
      <c r="F11" s="3">
        <v>237.26379800000001</v>
      </c>
      <c r="G11" s="3">
        <v>295.27626799999996</v>
      </c>
      <c r="H11" s="6">
        <f t="shared" si="0"/>
        <v>80.353155235624968</v>
      </c>
      <c r="I11" s="6">
        <v>1421.4667100000004</v>
      </c>
      <c r="J11" s="6"/>
      <c r="K11" s="6">
        <v>1421.4667100000004</v>
      </c>
      <c r="L11" s="6">
        <v>17.794784849999996</v>
      </c>
      <c r="M11" s="6">
        <v>1.5172396988100001</v>
      </c>
      <c r="N11" s="6">
        <v>0</v>
      </c>
      <c r="O11" s="6">
        <v>19.312024548809998</v>
      </c>
      <c r="P11" s="6">
        <v>25.768344000000003</v>
      </c>
      <c r="Q11" s="6">
        <f t="shared" si="2"/>
        <v>74.944763811015548</v>
      </c>
    </row>
    <row r="12" spans="1:17" x14ac:dyDescent="0.25">
      <c r="A12" s="11">
        <v>45566</v>
      </c>
      <c r="B12" s="2">
        <v>3079</v>
      </c>
      <c r="C12" s="2">
        <v>4405.2</v>
      </c>
      <c r="D12" s="2">
        <v>2535.462</v>
      </c>
      <c r="E12" s="2">
        <v>334601</v>
      </c>
      <c r="F12" s="2">
        <v>314.92485299999998</v>
      </c>
      <c r="G12" s="2">
        <v>388.61440799999997</v>
      </c>
      <c r="H12" s="5">
        <f t="shared" si="0"/>
        <v>81.037873665250217</v>
      </c>
      <c r="I12" s="5">
        <v>1894.6426399999987</v>
      </c>
      <c r="J12" s="5"/>
      <c r="K12" s="8">
        <v>1894.6426399999987</v>
      </c>
      <c r="L12" s="5">
        <v>23.619363975000002</v>
      </c>
      <c r="M12" s="5">
        <v>2.1514072246999993</v>
      </c>
      <c r="N12" s="5">
        <v>0</v>
      </c>
      <c r="O12" s="8">
        <v>25.770771199700004</v>
      </c>
      <c r="P12" s="5">
        <v>34.091034499999999</v>
      </c>
      <c r="Q12" s="5">
        <f t="shared" si="2"/>
        <v>75.593984100717165</v>
      </c>
    </row>
    <row r="13" spans="1:17" x14ac:dyDescent="0.25">
      <c r="A13" s="12">
        <v>45597</v>
      </c>
      <c r="B13" s="3">
        <v>3579</v>
      </c>
      <c r="C13" s="3">
        <v>5355.4833333333336</v>
      </c>
      <c r="D13" s="3">
        <v>3151.5880000000002</v>
      </c>
      <c r="E13" s="3">
        <v>442543</v>
      </c>
      <c r="F13" s="3">
        <v>430.50616499999995</v>
      </c>
      <c r="G13" s="3">
        <v>489.92233799999997</v>
      </c>
      <c r="H13" s="6">
        <f t="shared" si="0"/>
        <v>87.872328246441384</v>
      </c>
      <c r="I13" s="6">
        <v>1937.0529800000004</v>
      </c>
      <c r="J13" s="6"/>
      <c r="K13" s="6">
        <v>1937.0529800000004</v>
      </c>
      <c r="L13" s="6">
        <v>32.287962374999992</v>
      </c>
      <c r="M13" s="6">
        <v>2.2279586733699999</v>
      </c>
      <c r="N13" s="6">
        <v>0</v>
      </c>
      <c r="O13" s="6">
        <v>34.515921048369997</v>
      </c>
      <c r="P13" s="6">
        <v>42.973504999999996</v>
      </c>
      <c r="Q13" s="6">
        <f t="shared" si="2"/>
        <v>80.319073457866651</v>
      </c>
    </row>
    <row r="14" spans="1:17" x14ac:dyDescent="0.25">
      <c r="A14" s="11">
        <v>45627</v>
      </c>
      <c r="B14" s="2">
        <v>3752</v>
      </c>
      <c r="C14" s="2">
        <v>5828.583333333333</v>
      </c>
      <c r="D14" s="2">
        <v>3495.7469999999998</v>
      </c>
      <c r="E14" s="2">
        <v>489394</v>
      </c>
      <c r="F14" s="2">
        <v>494.63348500000001</v>
      </c>
      <c r="G14" s="2">
        <v>565.677548</v>
      </c>
      <c r="H14" s="5">
        <f t="shared" si="0"/>
        <v>87.44089044170444</v>
      </c>
      <c r="I14" s="5">
        <v>2081.0657700000011</v>
      </c>
      <c r="J14" s="5"/>
      <c r="K14" s="8">
        <v>2081.0657700000011</v>
      </c>
      <c r="L14" s="5">
        <v>37.097511375000003</v>
      </c>
      <c r="M14" s="5">
        <v>2.4477417214799999</v>
      </c>
      <c r="N14" s="5">
        <v>0</v>
      </c>
      <c r="O14" s="8">
        <v>39.545253096480003</v>
      </c>
      <c r="P14" s="5">
        <v>49.686077499999996</v>
      </c>
      <c r="Q14" s="5">
        <f t="shared" si="2"/>
        <v>79.590209342808365</v>
      </c>
    </row>
    <row r="15" spans="1:17" x14ac:dyDescent="0.25">
      <c r="A15" s="12">
        <v>45658</v>
      </c>
      <c r="B15" s="3">
        <v>3607</v>
      </c>
      <c r="C15" s="3">
        <v>5596.1</v>
      </c>
      <c r="D15" s="3">
        <v>3323.9989999999998</v>
      </c>
      <c r="E15" s="3">
        <v>465732</v>
      </c>
      <c r="F15" s="3">
        <v>470.56616400000001</v>
      </c>
      <c r="G15" s="3">
        <v>540.09235000000001</v>
      </c>
      <c r="H15" s="6">
        <f t="shared" si="0"/>
        <v>87.126981894855575</v>
      </c>
      <c r="I15" s="6">
        <v>1762.4653199999952</v>
      </c>
      <c r="J15" s="6"/>
      <c r="K15" s="6">
        <v>1762.4653199999952</v>
      </c>
      <c r="L15" s="6">
        <v>35.292462300000025</v>
      </c>
      <c r="M15" s="6">
        <v>2.0327721619699997</v>
      </c>
      <c r="N15" s="6">
        <v>0</v>
      </c>
      <c r="O15" s="6">
        <v>37.325234461970034</v>
      </c>
      <c r="P15" s="6">
        <v>47.157319999999999</v>
      </c>
      <c r="Q15" s="6">
        <f t="shared" si="2"/>
        <v>79.150457366894543</v>
      </c>
    </row>
    <row r="16" spans="1:17" x14ac:dyDescent="0.25">
      <c r="A16" s="11">
        <v>45689</v>
      </c>
      <c r="B16" s="2">
        <v>3407</v>
      </c>
      <c r="C16" s="2">
        <v>5226.3166666666666</v>
      </c>
      <c r="D16" s="2">
        <v>3039.18</v>
      </c>
      <c r="E16" s="2">
        <v>453930</v>
      </c>
      <c r="F16" s="2">
        <v>442.26168899999999</v>
      </c>
      <c r="G16" s="2">
        <v>484.84248200000002</v>
      </c>
      <c r="H16" s="5">
        <f t="shared" si="0"/>
        <v>91.217602709986949</v>
      </c>
      <c r="I16" s="5">
        <v>1488.0031000000035</v>
      </c>
      <c r="J16" s="5"/>
      <c r="K16" s="8">
        <v>1488.0031000000035</v>
      </c>
      <c r="L16" s="5">
        <v>33.169626674999996</v>
      </c>
      <c r="M16" s="5">
        <v>1.6243950951499992</v>
      </c>
      <c r="N16" s="5">
        <v>0</v>
      </c>
      <c r="O16" s="8">
        <v>34.794021770150003</v>
      </c>
      <c r="P16" s="5">
        <v>42.365633000000003</v>
      </c>
      <c r="Q16" s="5">
        <f t="shared" si="2"/>
        <v>82.127940281572094</v>
      </c>
    </row>
    <row r="17" spans="1:17" x14ac:dyDescent="0.25">
      <c r="A17" s="12">
        <v>45717</v>
      </c>
      <c r="B17" s="3">
        <v>3804</v>
      </c>
      <c r="C17" s="3">
        <v>5854.05</v>
      </c>
      <c r="D17" s="3">
        <v>3493.6329999999998</v>
      </c>
      <c r="E17" s="3">
        <v>479518</v>
      </c>
      <c r="F17" s="3">
        <v>484.08268800000002</v>
      </c>
      <c r="G17" s="3">
        <v>570.76684299999999</v>
      </c>
      <c r="H17" s="6">
        <f t="shared" si="0"/>
        <v>84.81268558902606</v>
      </c>
      <c r="I17" s="6">
        <v>2044.136810000002</v>
      </c>
      <c r="J17" s="6"/>
      <c r="K17" s="6">
        <v>2044.136810000002</v>
      </c>
      <c r="L17" s="6">
        <v>36.306201600000016</v>
      </c>
      <c r="M17" s="6">
        <v>2.3324089431999995</v>
      </c>
      <c r="N17" s="6">
        <v>0</v>
      </c>
      <c r="O17" s="6">
        <v>38.638610543200009</v>
      </c>
      <c r="P17" s="6">
        <v>50.128928999999999</v>
      </c>
      <c r="Q17" s="6">
        <f>O17/P17*100</f>
        <v>77.078468090152114</v>
      </c>
    </row>
    <row r="18" spans="1:17" x14ac:dyDescent="0.25">
      <c r="A18" s="1" t="s">
        <v>23</v>
      </c>
      <c r="B18" s="4">
        <f>SUM(B6:B17)</f>
        <v>41391</v>
      </c>
      <c r="C18" s="4">
        <f t="shared" ref="C18:G18" si="3">SUM(C6:C17)</f>
        <v>62402.850000000006</v>
      </c>
      <c r="D18" s="4">
        <f t="shared" si="3"/>
        <v>36750.271999999997</v>
      </c>
      <c r="E18" s="4">
        <f t="shared" si="3"/>
        <v>5305995</v>
      </c>
      <c r="F18" s="4">
        <f t="shared" si="3"/>
        <v>5200.66878</v>
      </c>
      <c r="G18" s="4">
        <f t="shared" si="3"/>
        <v>5909.5548410000001</v>
      </c>
      <c r="H18" s="7">
        <f t="shared" si="0"/>
        <v>88.004408452531692</v>
      </c>
      <c r="I18" s="7">
        <f t="shared" ref="I18:P18" si="4">SUM(I6:I17)</f>
        <v>22945.236740000008</v>
      </c>
      <c r="J18" s="7"/>
      <c r="K18" s="7">
        <f t="shared" si="4"/>
        <v>22945.236740000008</v>
      </c>
      <c r="L18" s="7">
        <f t="shared" si="4"/>
        <v>390.05015850000001</v>
      </c>
      <c r="M18" s="7">
        <f t="shared" si="4"/>
        <v>26.074541938080003</v>
      </c>
      <c r="N18" s="7"/>
      <c r="O18" s="7">
        <f t="shared" si="4"/>
        <v>416.12470043807997</v>
      </c>
      <c r="P18" s="7">
        <f t="shared" si="4"/>
        <v>523.7475915</v>
      </c>
      <c r="Q18" s="7">
        <f t="shared" si="2"/>
        <v>79.451382152671911</v>
      </c>
    </row>
    <row r="19" spans="1:17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2022-04-26T05:52:58Z</cp:lastPrinted>
  <dcterms:created xsi:type="dcterms:W3CDTF">2018-10-29T04:00:07Z</dcterms:created>
  <dcterms:modified xsi:type="dcterms:W3CDTF">2025-11-11T10:10:02Z</dcterms:modified>
</cp:coreProperties>
</file>