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VISTARA\"/>
    </mc:Choice>
  </mc:AlternateContent>
  <bookViews>
    <workbookView xWindow="0" yWindow="0" windowWidth="24000" windowHeight="97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Q13" i="1" l="1"/>
  <c r="Q12" i="1"/>
  <c r="Q11" i="1"/>
  <c r="Q10" i="1"/>
  <c r="Q9" i="1"/>
  <c r="Q8" i="1"/>
  <c r="Q7" i="1"/>
  <c r="Q6" i="1"/>
  <c r="H13" i="1"/>
  <c r="H12" i="1"/>
  <c r="H11" i="1"/>
  <c r="H10" i="1"/>
  <c r="H9" i="1"/>
  <c r="H8" i="1"/>
  <c r="H7" i="1"/>
  <c r="H6" i="1"/>
  <c r="P18" i="1" l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<sst xmlns="http://schemas.openxmlformats.org/spreadsheetml/2006/main" count="26" uniqueCount="24">
  <si>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SOURCE:-  ICAO ATR FORM 'A' FURNISHED BY VISTARA</t>
  </si>
  <si>
    <t xml:space="preserve"> TOTAL</t>
  </si>
  <si>
    <t xml:space="preserve"> MAIL</t>
  </si>
  <si>
    <t>FREIGHT</t>
  </si>
  <si>
    <t xml:space="preserve"> PAX.</t>
  </si>
  <si>
    <t xml:space="preserve"> FREIGHT </t>
  </si>
  <si>
    <t>KMS.PERFORMED (MILLION)</t>
  </si>
  <si>
    <t>CARRIED (NOS.)</t>
  </si>
  <si>
    <t xml:space="preserve">  KMS. (THOUSANDS)</t>
  </si>
  <si>
    <t>HOURS (NOS.)</t>
  </si>
  <si>
    <t>DEPARTURES (NOS.)</t>
  </si>
  <si>
    <t xml:space="preserve"> WEIGHT LOAD FACTOR (%)</t>
  </si>
  <si>
    <t>AVAILABLE TONNE KILOMETERS (MILLION)</t>
  </si>
  <si>
    <t xml:space="preserve">    TON  KMS. PERFORMED (MILLION)</t>
  </si>
  <si>
    <t xml:space="preserve"> CARGO CARRIED (TON)</t>
  </si>
  <si>
    <t xml:space="preserve"> PAX. LOAD FACTOR (%)</t>
  </si>
  <si>
    <t>AVAILABLE SEAT KILOMETERS (MILLION)</t>
  </si>
  <si>
    <t xml:space="preserve">    PASSENGERS</t>
  </si>
  <si>
    <t>AIRCRAFT FLOWN</t>
  </si>
  <si>
    <t>MONTH</t>
  </si>
  <si>
    <t>Table 1.02 (VISTARA)</t>
  </si>
  <si>
    <t xml:space="preserve">तालिका - 1.02 (विस्तारा) </t>
  </si>
  <si>
    <t>MONTHLY TRAFFIC AND OPERATING STATISTICS OF VISTARA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</si>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</sst>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_);_(* \(#,##0.0\);_(* &quot;-&quot;??_);_(@_)"/>
    <numFmt numFmtId="166" formatCode="[$-409]mmmm/yy;@"/>
    <numFmt numFmtId="167" formatCode="_(* #,##0_);_(* \(#,##0\);_(* &quot;-&quot;??_);_(@_)"/>
    <numFmt numFmtId="168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165" fontId="2" fillId="3" borderId="1" xfId="3" applyNumberFormat="1" applyFont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165" fontId="1" fillId="3" borderId="1" xfId="3" applyNumberFormat="1" applyBorder="1" applyAlignment="1">
      <alignment horizontal="center" vertical="center"/>
    </xf>
    <xf numFmtId="0" fontId="6" fillId="2" borderId="1" xfId="2" applyFont="1" applyBorder="1" applyAlignment="1" applyProtection="1">
      <alignment horizontal="center" vertical="center" textRotation="90" wrapText="1"/>
    </xf>
    <xf numFmtId="165" fontId="1" fillId="5" borderId="1" xfId="3" applyNumberFormat="1" applyFill="1" applyBorder="1" applyAlignment="1">
      <alignment horizontal="center" vertical="center"/>
    </xf>
    <xf numFmtId="165" fontId="2" fillId="3" borderId="1" xfId="3" applyNumberFormat="1" applyFont="1" applyBorder="1" applyAlignment="1">
      <alignment horizontal="center" vertical="center"/>
    </xf>
    <xf numFmtId="165" fontId="2" fillId="6" borderId="1" xfId="3" applyNumberFormat="1" applyFont="1" applyFill="1" applyBorder="1" applyAlignment="1">
      <alignment horizontal="center" vertical="center"/>
    </xf>
    <xf numFmtId="166" fontId="2" fillId="3" borderId="1" xfId="3" applyNumberFormat="1" applyFont="1" applyBorder="1" applyAlignment="1" applyProtection="1">
      <alignment horizontal="center" vertical="center" wrapText="1"/>
    </xf>
    <xf numFmtId="167" fontId="1" fillId="3" borderId="1" xfId="3" applyNumberFormat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167" fontId="2" fillId="3" borderId="1" xfId="3" applyNumberFormat="1" applyFont="1" applyBorder="1" applyAlignment="1" applyProtection="1">
      <alignment horizontal="center" vertical="center" wrapText="1"/>
    </xf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left" vertical="center" wrapText="1"/>
    </xf>
    <xf numFmtId="0" fontId="6" fillId="3" borderId="1" xfId="3" applyFont="1" applyBorder="1" applyAlignment="1">
      <alignment horizontal="center" vertical="center" wrapText="1"/>
    </xf>
    <xf numFmtId="0" fontId="6" fillId="3" borderId="1" xfId="3" quotePrefix="1" applyFont="1" applyBorder="1" applyAlignment="1" applyProtection="1">
      <alignment horizontal="center" vertical="center" wrapText="1"/>
    </xf>
    <xf numFmtId="0" fontId="6" fillId="3" borderId="1" xfId="3" applyFont="1" applyBorder="1"/>
    <xf numFmtId="0" fontId="6" fillId="2" borderId="1" xfId="2" applyFont="1" applyBorder="1" applyAlignment="1" applyProtection="1">
      <alignment horizontal="center" vertical="center" wrapText="1"/>
    </xf>
    <xf numFmtId="0" fontId="6" fillId="2" borderId="1" xfId="2" applyFont="1" applyBorder="1"/>
    <xf numFmtId="0" fontId="6" fillId="2" borderId="1" xfId="2" applyFont="1" applyBorder="1" applyAlignment="1" applyProtection="1">
      <alignment horizontal="center" vertical="center" textRotation="90" wrapText="1"/>
    </xf>
    <xf numFmtId="0" fontId="6" fillId="2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5" zoomScaleSheetLayoutView="100" workbookViewId="0">
      <selection activeCell="M14" sqref="M14"/>
    </sheetView>
  </sheetViews>
  <sheetFormatPr defaultRowHeight="15" x14ac:dyDescent="0.25"/>
  <cols>
    <col min="1" max="1" width="13.5703125" customWidth="1"/>
    <col min="2" max="2" width="9.140625" customWidth="1"/>
    <col min="3" max="3" width="10.28515625" customWidth="1"/>
    <col min="4" max="4" width="9.28515625" customWidth="1"/>
    <col min="5" max="6" width="12.140625" customWidth="1"/>
    <col min="7" max="7" width="11" customWidth="1"/>
    <col min="8" max="8" width="7.42578125" customWidth="1"/>
    <col min="9" max="9" width="9.28515625" customWidth="1"/>
    <col min="10" max="10" width="7.42578125" customWidth="1"/>
    <col min="11" max="11" width="9.85546875" customWidth="1"/>
    <col min="12" max="12" width="9.7109375" customWidth="1"/>
    <col min="13" max="13" width="9.140625" customWidth="1"/>
    <col min="14" max="14" width="7.42578125" customWidth="1"/>
    <col min="15" max="15" width="9.85546875" customWidth="1"/>
    <col min="16" max="16" width="11.85546875" customWidth="1"/>
    <col min="17" max="17" width="7.28515625" customWidth="1"/>
  </cols>
  <sheetData>
    <row r="1" spans="1:17" ht="19.149999999999999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9.149999999999999" customHeight="1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9.149999999999999" customHeight="1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7.9" customHeight="1" x14ac:dyDescent="0.25">
      <c r="A4" s="18" t="s">
        <v>19</v>
      </c>
      <c r="B4" s="18" t="s">
        <v>18</v>
      </c>
      <c r="C4" s="18"/>
      <c r="D4" s="18"/>
      <c r="E4" s="18" t="s">
        <v>17</v>
      </c>
      <c r="F4" s="19"/>
      <c r="G4" s="20" t="s">
        <v>16</v>
      </c>
      <c r="H4" s="20" t="s">
        <v>15</v>
      </c>
      <c r="I4" s="18" t="s">
        <v>14</v>
      </c>
      <c r="J4" s="18"/>
      <c r="K4" s="18"/>
      <c r="L4" s="18" t="s">
        <v>13</v>
      </c>
      <c r="M4" s="18"/>
      <c r="N4" s="18"/>
      <c r="O4" s="18"/>
      <c r="P4" s="20" t="s">
        <v>12</v>
      </c>
      <c r="Q4" s="20" t="s">
        <v>11</v>
      </c>
    </row>
    <row r="5" spans="1:17" ht="99" customHeight="1" x14ac:dyDescent="0.25">
      <c r="A5" s="18"/>
      <c r="B5" s="4" t="s">
        <v>10</v>
      </c>
      <c r="C5" s="4" t="s">
        <v>9</v>
      </c>
      <c r="D5" s="4" t="s">
        <v>8</v>
      </c>
      <c r="E5" s="4" t="s">
        <v>7</v>
      </c>
      <c r="F5" s="4" t="s">
        <v>6</v>
      </c>
      <c r="G5" s="21"/>
      <c r="H5" s="21"/>
      <c r="I5" s="4" t="s">
        <v>5</v>
      </c>
      <c r="J5" s="4" t="s">
        <v>2</v>
      </c>
      <c r="K5" s="4" t="s">
        <v>1</v>
      </c>
      <c r="L5" s="4" t="s">
        <v>4</v>
      </c>
      <c r="M5" s="4" t="s">
        <v>3</v>
      </c>
      <c r="N5" s="4" t="s">
        <v>2</v>
      </c>
      <c r="O5" s="4" t="s">
        <v>1</v>
      </c>
      <c r="P5" s="21"/>
      <c r="Q5" s="21"/>
    </row>
    <row r="6" spans="1:17" ht="19.899999999999999" customHeight="1" x14ac:dyDescent="0.25">
      <c r="A6" s="12">
        <v>45383</v>
      </c>
      <c r="B6" s="9">
        <v>1508</v>
      </c>
      <c r="C6" s="9">
        <v>5161.4332999999997</v>
      </c>
      <c r="D6" s="9">
        <v>5058.1180000000004</v>
      </c>
      <c r="E6" s="9">
        <v>240477</v>
      </c>
      <c r="F6" s="3">
        <v>892.60918800000002</v>
      </c>
      <c r="G6" s="3">
        <v>1139.2315449999999</v>
      </c>
      <c r="H6" s="3">
        <f t="shared" ref="H6:H13" si="0">F6/G6*100</f>
        <v>78.351867266807488</v>
      </c>
      <c r="I6" s="3">
        <v>2966.2141000000001</v>
      </c>
      <c r="J6" s="3">
        <v>3.0812499999999998</v>
      </c>
      <c r="K6" s="3">
        <v>2969.2953500000003</v>
      </c>
      <c r="L6" s="3">
        <v>93.722832945000007</v>
      </c>
      <c r="M6" s="3">
        <v>0.610554633618825</v>
      </c>
      <c r="N6" s="3">
        <v>2.6748292999999999E-2</v>
      </c>
      <c r="O6" s="3">
        <v>94.360135871618823</v>
      </c>
      <c r="P6" s="3">
        <v>158.32792942100002</v>
      </c>
      <c r="Q6" s="3">
        <f t="shared" ref="Q6:Q13" si="1">O6/P6*100</f>
        <v>59.597909362353633</v>
      </c>
    </row>
    <row r="7" spans="1:17" ht="19.899999999999999" customHeight="1" x14ac:dyDescent="0.25">
      <c r="A7" s="13">
        <v>45413</v>
      </c>
      <c r="B7" s="10">
        <v>1504</v>
      </c>
      <c r="C7" s="10">
        <v>6786.25</v>
      </c>
      <c r="D7" s="10">
        <v>5105.5919999999996</v>
      </c>
      <c r="E7" s="10">
        <v>251289</v>
      </c>
      <c r="F7" s="2">
        <v>938.24249299999997</v>
      </c>
      <c r="G7" s="2">
        <v>1158.2765609999999</v>
      </c>
      <c r="H7" s="2">
        <f t="shared" si="0"/>
        <v>81.003322055482741</v>
      </c>
      <c r="I7" s="2">
        <v>2692.0990900000006</v>
      </c>
      <c r="J7" s="2">
        <v>4.2584999999999997</v>
      </c>
      <c r="K7" s="2">
        <v>2696.3575900000005</v>
      </c>
      <c r="L7" s="2">
        <v>98.515590285000002</v>
      </c>
      <c r="M7" s="2">
        <v>15.79585161636</v>
      </c>
      <c r="N7" s="2">
        <v>1.1346748E-2</v>
      </c>
      <c r="O7" s="2">
        <v>114.32278864935999</v>
      </c>
      <c r="P7" s="2">
        <v>161.896117057</v>
      </c>
      <c r="Q7" s="2">
        <f t="shared" si="1"/>
        <v>70.614904623752963</v>
      </c>
    </row>
    <row r="8" spans="1:17" ht="19.899999999999999" customHeight="1" x14ac:dyDescent="0.25">
      <c r="A8" s="12">
        <v>45444</v>
      </c>
      <c r="B8" s="9">
        <v>1492</v>
      </c>
      <c r="C8" s="9">
        <v>6875.4833333333336</v>
      </c>
      <c r="D8" s="9">
        <v>5163.51</v>
      </c>
      <c r="E8" s="9">
        <v>249111</v>
      </c>
      <c r="F8" s="3">
        <v>957.77966200000003</v>
      </c>
      <c r="G8" s="3">
        <v>1185.8560170000001</v>
      </c>
      <c r="H8" s="3">
        <f t="shared" si="0"/>
        <v>80.766943732596502</v>
      </c>
      <c r="I8" s="3">
        <v>3472.2831400000014</v>
      </c>
      <c r="J8" s="3">
        <v>5.4631000000000007</v>
      </c>
      <c r="K8" s="3">
        <v>3477.7462400000013</v>
      </c>
      <c r="L8" s="3">
        <v>100.56824568</v>
      </c>
      <c r="M8" s="3">
        <v>20.749123236150002</v>
      </c>
      <c r="N8" s="3">
        <v>1.15457309E-2</v>
      </c>
      <c r="O8" s="3">
        <v>121.32891464705001</v>
      </c>
      <c r="P8" s="3">
        <v>167.93061452999999</v>
      </c>
      <c r="Q8" s="3">
        <f t="shared" si="1"/>
        <v>72.249431699289829</v>
      </c>
    </row>
    <row r="9" spans="1:17" ht="19.899999999999999" customHeight="1" x14ac:dyDescent="0.25">
      <c r="A9" s="13">
        <v>45474</v>
      </c>
      <c r="B9" s="10">
        <v>1564</v>
      </c>
      <c r="C9" s="10">
        <v>7300.2166666666662</v>
      </c>
      <c r="D9" s="10">
        <v>5477.06</v>
      </c>
      <c r="E9" s="10">
        <v>246110</v>
      </c>
      <c r="F9" s="2">
        <v>946.51483499999995</v>
      </c>
      <c r="G9" s="2">
        <v>1264.9090269999999</v>
      </c>
      <c r="H9" s="5">
        <f t="shared" si="0"/>
        <v>74.828688450809835</v>
      </c>
      <c r="I9" s="2">
        <v>3509.7375099999999</v>
      </c>
      <c r="J9" s="2">
        <v>6.138300000000001</v>
      </c>
      <c r="K9" s="2">
        <v>3515.87581</v>
      </c>
      <c r="L9" s="2">
        <v>99.384719279999999</v>
      </c>
      <c r="M9" s="2">
        <v>21.188395850199999</v>
      </c>
      <c r="N9" s="2">
        <v>1.4265748200000001E-2</v>
      </c>
      <c r="O9" s="5">
        <v>120.58738087840001</v>
      </c>
      <c r="P9" s="2">
        <v>180.40040067500001</v>
      </c>
      <c r="Q9" s="2">
        <f t="shared" si="1"/>
        <v>66.84429769956219</v>
      </c>
    </row>
    <row r="10" spans="1:17" ht="19.899999999999999" customHeight="1" x14ac:dyDescent="0.25">
      <c r="A10" s="12">
        <v>45505</v>
      </c>
      <c r="B10" s="9">
        <v>1492</v>
      </c>
      <c r="C10" s="9">
        <v>7001.5165999999999</v>
      </c>
      <c r="D10" s="9">
        <v>5231.8680000000004</v>
      </c>
      <c r="E10" s="9">
        <v>239256</v>
      </c>
      <c r="F10" s="3">
        <v>926.18237899999997</v>
      </c>
      <c r="G10" s="3">
        <v>1222.4652160000001</v>
      </c>
      <c r="H10" s="3">
        <f t="shared" si="0"/>
        <v>75.763495507098327</v>
      </c>
      <c r="I10" s="3">
        <v>3113.7104899999995</v>
      </c>
      <c r="J10" s="3">
        <v>5.174100000000001</v>
      </c>
      <c r="K10" s="3">
        <v>3118.8845899999997</v>
      </c>
      <c r="L10" s="3">
        <v>97.247389470000002</v>
      </c>
      <c r="M10" s="3">
        <v>18.73425981343</v>
      </c>
      <c r="N10" s="3">
        <v>1.06455254E-2</v>
      </c>
      <c r="O10" s="3">
        <v>115.99229480883</v>
      </c>
      <c r="P10" s="3">
        <v>176.49171377800002</v>
      </c>
      <c r="Q10" s="3">
        <f t="shared" si="1"/>
        <v>65.721099492937569</v>
      </c>
    </row>
    <row r="11" spans="1:17" ht="19.899999999999999" customHeight="1" x14ac:dyDescent="0.25">
      <c r="A11" s="13">
        <v>45536</v>
      </c>
      <c r="B11" s="10">
        <v>1418</v>
      </c>
      <c r="C11" s="10">
        <v>6530.0333333333338</v>
      </c>
      <c r="D11" s="10">
        <v>4929.1139999999996</v>
      </c>
      <c r="E11" s="10">
        <v>213208</v>
      </c>
      <c r="F11" s="2">
        <v>817.08851700000002</v>
      </c>
      <c r="G11" s="2">
        <v>1137.957817</v>
      </c>
      <c r="H11" s="5">
        <f t="shared" si="0"/>
        <v>71.803058495972351</v>
      </c>
      <c r="I11" s="2">
        <v>2955.8050400000002</v>
      </c>
      <c r="J11" s="2">
        <v>3.2628999999999997</v>
      </c>
      <c r="K11" s="2">
        <v>2959.0679400000004</v>
      </c>
      <c r="L11" s="2">
        <v>85.793006564999999</v>
      </c>
      <c r="M11" s="2">
        <v>17.846487999780003</v>
      </c>
      <c r="N11" s="2">
        <v>5.0587782E-3</v>
      </c>
      <c r="O11" s="5">
        <v>103.64455334298</v>
      </c>
      <c r="P11" s="2">
        <v>163.92211838900002</v>
      </c>
      <c r="Q11" s="2">
        <f t="shared" si="1"/>
        <v>63.227924554405377</v>
      </c>
    </row>
    <row r="12" spans="1:17" ht="19.899999999999999" customHeight="1" x14ac:dyDescent="0.25">
      <c r="A12" s="12">
        <v>45566</v>
      </c>
      <c r="B12" s="9">
        <v>1499</v>
      </c>
      <c r="C12" s="9">
        <v>6983.2333333333336</v>
      </c>
      <c r="D12" s="9">
        <v>5272.8130000000001</v>
      </c>
      <c r="E12" s="9">
        <v>213890</v>
      </c>
      <c r="F12" s="3">
        <v>821.16951899999992</v>
      </c>
      <c r="G12" s="3">
        <v>1223.1861410000001</v>
      </c>
      <c r="H12" s="3">
        <f t="shared" si="0"/>
        <v>67.133651328706463</v>
      </c>
      <c r="I12" s="3">
        <v>3181.5321999999996</v>
      </c>
      <c r="J12" s="3">
        <v>3.0836000000000006</v>
      </c>
      <c r="K12" s="3">
        <v>3184.6157999999996</v>
      </c>
      <c r="L12" s="3">
        <v>86.220710625000009</v>
      </c>
      <c r="M12" s="3">
        <v>19.284182404660001</v>
      </c>
      <c r="N12" s="3">
        <v>4.6195614000000005E-3</v>
      </c>
      <c r="O12" s="3">
        <v>105.50951259106002</v>
      </c>
      <c r="P12" s="3">
        <v>176.770708222</v>
      </c>
      <c r="Q12" s="3">
        <f t="shared" si="1"/>
        <v>59.687214953370216</v>
      </c>
    </row>
    <row r="13" spans="1:17" ht="19.899999999999999" customHeight="1" x14ac:dyDescent="0.25">
      <c r="A13" s="13">
        <v>45597</v>
      </c>
      <c r="B13" s="10">
        <v>513</v>
      </c>
      <c r="C13" s="10">
        <v>2415.9833333333331</v>
      </c>
      <c r="D13" s="10">
        <v>1796.6890000000001</v>
      </c>
      <c r="E13" s="10">
        <v>79771</v>
      </c>
      <c r="F13" s="2">
        <v>295.76059800000002</v>
      </c>
      <c r="G13" s="2">
        <v>417.271591</v>
      </c>
      <c r="H13" s="5">
        <f t="shared" si="0"/>
        <v>70.879639155688409</v>
      </c>
      <c r="I13" s="2">
        <v>461.32517000000007</v>
      </c>
      <c r="J13" s="2">
        <v>0.22959999999999997</v>
      </c>
      <c r="K13" s="2">
        <v>461.55477000000008</v>
      </c>
      <c r="L13" s="2">
        <v>31.055029950000002</v>
      </c>
      <c r="M13" s="2">
        <v>2.8293782202000002</v>
      </c>
      <c r="N13" s="2">
        <v>3.5894189999999997E-4</v>
      </c>
      <c r="O13" s="5">
        <v>33.884767112099993</v>
      </c>
      <c r="P13" s="2">
        <v>59.840863639000005</v>
      </c>
      <c r="Q13" s="2">
        <f t="shared" si="1"/>
        <v>56.624796253803268</v>
      </c>
    </row>
    <row r="14" spans="1:17" ht="19.899999999999999" customHeight="1" x14ac:dyDescent="0.25">
      <c r="A14" s="12">
        <v>45627</v>
      </c>
      <c r="B14" s="9"/>
      <c r="C14" s="9"/>
      <c r="D14" s="9"/>
      <c r="E14" s="9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9.899999999999999" customHeight="1" x14ac:dyDescent="0.25">
      <c r="A15" s="13">
        <v>45658</v>
      </c>
      <c r="B15" s="10"/>
      <c r="C15" s="10"/>
      <c r="D15" s="10"/>
      <c r="E15" s="10"/>
      <c r="F15" s="2"/>
      <c r="G15" s="2"/>
      <c r="H15" s="5"/>
      <c r="I15" s="2"/>
      <c r="J15" s="2"/>
      <c r="K15" s="2"/>
      <c r="L15" s="2"/>
      <c r="M15" s="2"/>
      <c r="N15" s="2"/>
      <c r="O15" s="5"/>
      <c r="P15" s="2"/>
      <c r="Q15" s="2"/>
    </row>
    <row r="16" spans="1:17" ht="19.899999999999999" customHeight="1" x14ac:dyDescent="0.25">
      <c r="A16" s="12">
        <v>45689</v>
      </c>
      <c r="B16" s="9"/>
      <c r="C16" s="9"/>
      <c r="D16" s="9"/>
      <c r="E16" s="9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9.899999999999999" customHeight="1" x14ac:dyDescent="0.25">
      <c r="A17" s="13">
        <v>45717</v>
      </c>
      <c r="B17" s="10"/>
      <c r="C17" s="10"/>
      <c r="D17" s="10"/>
      <c r="E17" s="10"/>
      <c r="F17" s="2"/>
      <c r="G17" s="2"/>
      <c r="H17" s="5"/>
      <c r="I17" s="2"/>
      <c r="J17" s="2"/>
      <c r="K17" s="2"/>
      <c r="L17" s="2"/>
      <c r="M17" s="2"/>
      <c r="N17" s="2"/>
      <c r="O17" s="5"/>
      <c r="P17" s="2"/>
      <c r="Q17" s="2"/>
    </row>
    <row r="18" spans="1:17" ht="19.899999999999999" customHeight="1" x14ac:dyDescent="0.25">
      <c r="A18" s="8" t="s">
        <v>23</v>
      </c>
      <c r="B18" s="1">
        <f>SUM(B6:B17)</f>
        <v>10990</v>
      </c>
      <c r="C18" s="1">
        <f t="shared" ref="C18:G18" si="2">SUM(C6:C17)</f>
        <v>49054.149899999997</v>
      </c>
      <c r="D18" s="1">
        <f t="shared" si="2"/>
        <v>38034.764000000003</v>
      </c>
      <c r="E18" s="11">
        <f>SUM(E6:E17)</f>
        <v>1733112</v>
      </c>
      <c r="F18" s="1">
        <f t="shared" si="2"/>
        <v>6595.3471909999998</v>
      </c>
      <c r="G18" s="1">
        <f t="shared" si="2"/>
        <v>8749.1539150000008</v>
      </c>
      <c r="H18" s="7">
        <f>F18/G18*100</f>
        <v>75.382685629665247</v>
      </c>
      <c r="I18" s="1">
        <f t="shared" ref="I18:P18" si="3">SUM(I6:I17)</f>
        <v>22352.706740000005</v>
      </c>
      <c r="J18" s="1">
        <f t="shared" si="3"/>
        <v>30.691350000000003</v>
      </c>
      <c r="K18" s="1">
        <f t="shared" si="3"/>
        <v>22383.398089999999</v>
      </c>
      <c r="L18" s="1">
        <f t="shared" si="3"/>
        <v>692.50752480000006</v>
      </c>
      <c r="M18" s="1">
        <f t="shared" si="3"/>
        <v>117.03823377439882</v>
      </c>
      <c r="N18" s="1">
        <f t="shared" si="3"/>
        <v>8.4589327000000006E-2</v>
      </c>
      <c r="O18" s="6">
        <f>SUM(O6:O17)</f>
        <v>809.63034790139886</v>
      </c>
      <c r="P18" s="1">
        <f t="shared" si="3"/>
        <v>1245.580465711</v>
      </c>
      <c r="Q18" s="1">
        <f>O18/P18*100</f>
        <v>65.000244479528433</v>
      </c>
    </row>
    <row r="19" spans="1:17" ht="19.899999999999999" customHeight="1" x14ac:dyDescent="0.25">
      <c r="A19" s="14" t="s"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2021-09-15T01:37:34Z</cp:lastPrinted>
  <dcterms:created xsi:type="dcterms:W3CDTF">2020-05-22T09:14:10Z</dcterms:created>
  <dcterms:modified xsi:type="dcterms:W3CDTF">2025-11-20T07:22:07Z</dcterms:modified>
</cp:coreProperties>
</file>