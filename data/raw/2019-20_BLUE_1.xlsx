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0. BLUE DART\"/>
    </mc:Choice>
  </mc:AlternateContent>
  <bookViews>
    <workbookView xWindow="0" yWindow="0" windowWidth="24000" windowHeight="9435"/>
  </bookViews>
  <sheets>
    <sheet name="BLUEDAR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6" l="1"/>
  <c r="Q18" i="6" l="1"/>
  <c r="P18" i="6"/>
  <c r="O18" i="6"/>
  <c r="N18" i="6"/>
  <c r="M18" i="6"/>
  <c r="L18" i="6"/>
  <c r="K18" i="6"/>
  <c r="J18" i="6"/>
  <c r="I18" i="6"/>
  <c r="G18" i="6"/>
  <c r="F18" i="6"/>
  <c r="E18" i="6"/>
  <c r="D18" i="6"/>
  <c r="C18" i="6"/>
  <c r="B18" i="6"/>
  <c r="Q7" i="6" l="1"/>
  <c r="Q8" i="6"/>
  <c r="Q9" i="6"/>
  <c r="Q10" i="6"/>
  <c r="Q11" i="6"/>
  <c r="Q12" i="6"/>
  <c r="Q13" i="6"/>
  <c r="Q14" i="6"/>
  <c r="Q15" i="6"/>
  <c r="Q16" i="6"/>
  <c r="Q17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<sst xmlns="http://schemas.openxmlformats.org/spreadsheetml/2006/main" count="26" uniqueCount="24">
  <si>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</si>
  <si>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</si>
  <si>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</si>
  <si>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</si>
  <si>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</si>
  <si>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</si>
  <si>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</si>
  <si>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</si>
  <si>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</si>
  <si>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</si>
  <si>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</si>
  <si>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</si>
  <si>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</si>
  <si>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</si>
  <si>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</si>
  <si>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</si>
  <si>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</si>
  <si>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</si>
  <si>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</si>
  <si>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(ब्लू डार्ट) </t>
  </si>
  <si>
    <t>Table 1.01 (BLUE DART)</t>
  </si>
  <si>
    <t>SOURCE:-  ICAO ATR FORM 'A' FURNISHED BY BLUE DART</t>
  </si>
  <si>
    <t>2019-20</t>
  </si>
  <si>
    <t>MONTHLY TRAFFIC AND OPERATING STATISTICS OF BLUE DART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</si>
</sst>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6" fontId="4" fillId="4" borderId="1" xfId="3" applyNumberFormat="1" applyFont="1" applyBorder="1" applyAlignment="1" applyProtection="1">
      <alignment horizontal="right" vertical="center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T5" sqref="T5"/>
    </sheetView>
  </sheetViews>
  <sheetFormatPr defaultRowHeight="15" x14ac:dyDescent="0.25"/>
  <cols>
    <col min="2" max="2" width="6.28515625" customWidth="1"/>
    <col min="3" max="3" width="7.42578125" customWidth="1"/>
    <col min="4" max="4" width="6.28515625" customWidth="1"/>
    <col min="5" max="5" width="7" customWidth="1"/>
    <col min="6" max="6" width="7.140625" customWidth="1"/>
    <col min="7" max="7" width="8" customWidth="1"/>
    <col min="8" max="8" width="6.140625" customWidth="1"/>
    <col min="9" max="9" width="10" customWidth="1"/>
    <col min="10" max="10" width="6.85546875" customWidth="1"/>
    <col min="11" max="11" width="9.5703125" customWidth="1"/>
    <col min="12" max="12" width="7.5703125" customWidth="1"/>
    <col min="13" max="13" width="8.28515625" customWidth="1"/>
    <col min="14" max="14" width="6.42578125" customWidth="1"/>
    <col min="15" max="15" width="7.5703125" customWidth="1"/>
    <col min="16" max="16" width="7.28515625" customWidth="1"/>
    <col min="17" max="17" width="7.57031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31.15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3.2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8">
        <v>43556</v>
      </c>
      <c r="B6" s="2">
        <v>468</v>
      </c>
      <c r="C6" s="2">
        <v>782.66600000000005</v>
      </c>
      <c r="D6" s="2">
        <v>460.96690000000001</v>
      </c>
      <c r="E6" s="2">
        <v>0</v>
      </c>
      <c r="F6" s="2">
        <v>0</v>
      </c>
      <c r="G6" s="2">
        <v>0</v>
      </c>
      <c r="H6" s="2">
        <v>0</v>
      </c>
      <c r="I6" s="5">
        <v>9513</v>
      </c>
      <c r="J6" s="5">
        <v>0</v>
      </c>
      <c r="K6" s="5">
        <v>9513</v>
      </c>
      <c r="L6" s="2">
        <v>0</v>
      </c>
      <c r="M6" s="5">
        <v>9.6655059999999988</v>
      </c>
      <c r="N6" s="5">
        <v>0</v>
      </c>
      <c r="O6" s="5">
        <v>9.6655059999999988</v>
      </c>
      <c r="P6" s="5">
        <v>14.304350000000001</v>
      </c>
      <c r="Q6" s="5">
        <f>O6/P6*100</f>
        <v>67.570396417872871</v>
      </c>
    </row>
    <row r="7" spans="1:17" x14ac:dyDescent="0.25">
      <c r="A7" s="9">
        <v>43586</v>
      </c>
      <c r="B7" s="3">
        <v>485</v>
      </c>
      <c r="C7" s="3">
        <v>863.66600000000005</v>
      </c>
      <c r="D7" s="3">
        <v>484</v>
      </c>
      <c r="E7" s="3">
        <v>0</v>
      </c>
      <c r="F7" s="3">
        <v>0</v>
      </c>
      <c r="G7" s="3">
        <v>0</v>
      </c>
      <c r="H7" s="3">
        <v>0</v>
      </c>
      <c r="I7" s="6">
        <v>10311</v>
      </c>
      <c r="J7" s="6">
        <v>0</v>
      </c>
      <c r="K7" s="6">
        <v>10311</v>
      </c>
      <c r="L7" s="3">
        <v>0</v>
      </c>
      <c r="M7" s="6">
        <v>10.613</v>
      </c>
      <c r="N7" s="6">
        <v>0</v>
      </c>
      <c r="O7" s="6">
        <v>10.613</v>
      </c>
      <c r="P7" s="6">
        <v>14.936</v>
      </c>
      <c r="Q7" s="6">
        <f t="shared" ref="Q7:Q18" si="0">O7/P7*100</f>
        <v>71.056507766470261</v>
      </c>
    </row>
    <row r="8" spans="1:17" x14ac:dyDescent="0.25">
      <c r="A8" s="8">
        <v>43617</v>
      </c>
      <c r="B8" s="2">
        <v>467</v>
      </c>
      <c r="C8" s="2">
        <v>642</v>
      </c>
      <c r="D8" s="2">
        <v>466</v>
      </c>
      <c r="E8" s="2">
        <v>0</v>
      </c>
      <c r="F8" s="2">
        <v>0</v>
      </c>
      <c r="G8" s="2">
        <v>0</v>
      </c>
      <c r="H8" s="2">
        <v>0</v>
      </c>
      <c r="I8" s="5">
        <v>10110.677000000003</v>
      </c>
      <c r="J8" s="5">
        <v>0</v>
      </c>
      <c r="K8" s="5">
        <v>10110.677000000003</v>
      </c>
      <c r="L8" s="2">
        <v>0</v>
      </c>
      <c r="M8" s="5">
        <v>10.448</v>
      </c>
      <c r="N8" s="5">
        <v>0</v>
      </c>
      <c r="O8" s="5">
        <v>10.448</v>
      </c>
      <c r="P8" s="5">
        <v>14.295</v>
      </c>
      <c r="Q8" s="5">
        <f t="shared" si="0"/>
        <v>73.088492479888075</v>
      </c>
    </row>
    <row r="9" spans="1:17" x14ac:dyDescent="0.25">
      <c r="A9" s="9">
        <v>43647</v>
      </c>
      <c r="B9" s="3">
        <v>517</v>
      </c>
      <c r="C9" s="3">
        <v>619.08333333333337</v>
      </c>
      <c r="D9" s="3">
        <v>508</v>
      </c>
      <c r="E9" s="3">
        <v>0</v>
      </c>
      <c r="F9" s="3">
        <v>0</v>
      </c>
      <c r="G9" s="3">
        <v>0</v>
      </c>
      <c r="H9" s="3">
        <v>0</v>
      </c>
      <c r="I9" s="6">
        <v>11224.204000000007</v>
      </c>
      <c r="J9" s="6">
        <v>0</v>
      </c>
      <c r="K9" s="6">
        <v>11224.204000000007</v>
      </c>
      <c r="L9" s="3">
        <v>0</v>
      </c>
      <c r="M9" s="6">
        <v>11.423</v>
      </c>
      <c r="N9" s="6">
        <v>0</v>
      </c>
      <c r="O9" s="6">
        <v>11.423</v>
      </c>
      <c r="P9" s="6">
        <v>15.579000000000001</v>
      </c>
      <c r="Q9" s="6">
        <f t="shared" si="0"/>
        <v>73.3230630977598</v>
      </c>
    </row>
    <row r="10" spans="1:17" x14ac:dyDescent="0.25">
      <c r="A10" s="8">
        <v>43678</v>
      </c>
      <c r="B10" s="2">
        <v>488</v>
      </c>
      <c r="C10" s="2">
        <v>612.33333333333337</v>
      </c>
      <c r="D10" s="2">
        <v>478</v>
      </c>
      <c r="E10" s="2">
        <v>0</v>
      </c>
      <c r="F10" s="2">
        <v>0</v>
      </c>
      <c r="G10" s="2">
        <v>0</v>
      </c>
      <c r="H10" s="2">
        <v>0</v>
      </c>
      <c r="I10" s="5">
        <v>10921.057000000004</v>
      </c>
      <c r="J10" s="5">
        <v>0</v>
      </c>
      <c r="K10" s="5">
        <v>10921.057000000004</v>
      </c>
      <c r="L10" s="2">
        <v>0</v>
      </c>
      <c r="M10" s="5">
        <v>11.164999999999999</v>
      </c>
      <c r="N10" s="5">
        <v>0</v>
      </c>
      <c r="O10" s="5">
        <v>11.164999999999999</v>
      </c>
      <c r="P10" s="5">
        <v>14.785</v>
      </c>
      <c r="Q10" s="5">
        <f t="shared" si="0"/>
        <v>75.515725397362189</v>
      </c>
    </row>
    <row r="11" spans="1:17" x14ac:dyDescent="0.25">
      <c r="A11" s="9">
        <v>43709</v>
      </c>
      <c r="B11" s="3">
        <v>445</v>
      </c>
      <c r="C11" s="3">
        <v>595.03</v>
      </c>
      <c r="D11" s="3">
        <v>442</v>
      </c>
      <c r="E11" s="3">
        <v>0</v>
      </c>
      <c r="F11" s="3">
        <v>0</v>
      </c>
      <c r="G11" s="3">
        <v>0</v>
      </c>
      <c r="H11" s="3">
        <v>0</v>
      </c>
      <c r="I11" s="6">
        <v>10502.615999999998</v>
      </c>
      <c r="J11" s="6">
        <v>0</v>
      </c>
      <c r="K11" s="6">
        <v>10502.615999999998</v>
      </c>
      <c r="L11" s="3">
        <v>0</v>
      </c>
      <c r="M11" s="6">
        <v>10.811999999999999</v>
      </c>
      <c r="N11" s="6">
        <v>0</v>
      </c>
      <c r="O11" s="6">
        <v>10.811999999999999</v>
      </c>
      <c r="P11" s="6">
        <v>13.702</v>
      </c>
      <c r="Q11" s="6">
        <f t="shared" si="0"/>
        <v>78.908188585607945</v>
      </c>
    </row>
    <row r="12" spans="1:17" x14ac:dyDescent="0.25">
      <c r="A12" s="8">
        <v>43739</v>
      </c>
      <c r="B12" s="2">
        <v>454</v>
      </c>
      <c r="C12" s="2">
        <v>634.35</v>
      </c>
      <c r="D12" s="2">
        <v>460</v>
      </c>
      <c r="E12" s="2">
        <v>0</v>
      </c>
      <c r="F12" s="2">
        <v>0</v>
      </c>
      <c r="G12" s="2">
        <v>0</v>
      </c>
      <c r="H12" s="2">
        <v>0</v>
      </c>
      <c r="I12" s="5">
        <v>10430.392999999998</v>
      </c>
      <c r="J12" s="5">
        <v>0</v>
      </c>
      <c r="K12" s="5">
        <v>10430.392999999998</v>
      </c>
      <c r="L12" s="2">
        <v>0</v>
      </c>
      <c r="M12" s="5">
        <v>10.866</v>
      </c>
      <c r="N12" s="5">
        <v>0</v>
      </c>
      <c r="O12" s="5">
        <v>10.866</v>
      </c>
      <c r="P12" s="5">
        <v>14.281000000000001</v>
      </c>
      <c r="Q12" s="5">
        <f t="shared" si="0"/>
        <v>76.087108745886127</v>
      </c>
    </row>
    <row r="13" spans="1:17" x14ac:dyDescent="0.25">
      <c r="A13" s="9">
        <v>43770</v>
      </c>
      <c r="B13" s="3">
        <v>454</v>
      </c>
      <c r="C13" s="3">
        <v>621.25</v>
      </c>
      <c r="D13" s="3">
        <v>444</v>
      </c>
      <c r="E13" s="3">
        <v>0</v>
      </c>
      <c r="F13" s="3">
        <v>0</v>
      </c>
      <c r="G13" s="3">
        <v>0</v>
      </c>
      <c r="H13" s="3">
        <v>0</v>
      </c>
      <c r="I13" s="6">
        <v>10375.355000000009</v>
      </c>
      <c r="J13" s="6">
        <v>0</v>
      </c>
      <c r="K13" s="6">
        <v>10375.355000000009</v>
      </c>
      <c r="L13" s="3">
        <v>0</v>
      </c>
      <c r="M13" s="6">
        <v>10.605</v>
      </c>
      <c r="N13" s="6">
        <v>0</v>
      </c>
      <c r="O13" s="6">
        <v>10.605</v>
      </c>
      <c r="P13" s="6">
        <v>13.750999999999999</v>
      </c>
      <c r="Q13" s="6">
        <f t="shared" si="0"/>
        <v>77.121663878990617</v>
      </c>
    </row>
    <row r="14" spans="1:17" x14ac:dyDescent="0.25">
      <c r="A14" s="8">
        <v>43800</v>
      </c>
      <c r="B14" s="2">
        <v>487</v>
      </c>
      <c r="C14" s="2">
        <v>673.05</v>
      </c>
      <c r="D14" s="2">
        <v>488</v>
      </c>
      <c r="E14" s="2">
        <v>0</v>
      </c>
      <c r="F14" s="2">
        <v>0</v>
      </c>
      <c r="G14" s="2">
        <v>0</v>
      </c>
      <c r="H14" s="2">
        <v>0</v>
      </c>
      <c r="I14" s="5">
        <v>11367.316000000015</v>
      </c>
      <c r="J14" s="5">
        <v>0</v>
      </c>
      <c r="K14" s="5">
        <v>11367.316000000015</v>
      </c>
      <c r="L14" s="2">
        <v>0</v>
      </c>
      <c r="M14" s="5">
        <v>11.827</v>
      </c>
      <c r="N14" s="5">
        <v>0</v>
      </c>
      <c r="O14" s="5">
        <v>11.827</v>
      </c>
      <c r="P14" s="5">
        <v>14.882</v>
      </c>
      <c r="Q14" s="5">
        <f t="shared" si="0"/>
        <v>79.471845182099173</v>
      </c>
    </row>
    <row r="15" spans="1:17" x14ac:dyDescent="0.25">
      <c r="A15" s="9">
        <v>43831</v>
      </c>
      <c r="B15" s="3">
        <v>477</v>
      </c>
      <c r="C15" s="3">
        <v>656.15</v>
      </c>
      <c r="D15" s="3">
        <v>467</v>
      </c>
      <c r="E15" s="3">
        <v>0</v>
      </c>
      <c r="F15" s="3">
        <v>0</v>
      </c>
      <c r="G15" s="3">
        <v>0</v>
      </c>
      <c r="H15" s="3">
        <v>0</v>
      </c>
      <c r="I15" s="6">
        <v>10361.982</v>
      </c>
      <c r="J15" s="6"/>
      <c r="K15" s="6">
        <v>10361.982</v>
      </c>
      <c r="L15" s="3">
        <v>0</v>
      </c>
      <c r="M15" s="6">
        <v>10.612</v>
      </c>
      <c r="N15" s="6">
        <v>0</v>
      </c>
      <c r="O15" s="6">
        <v>10.612</v>
      </c>
      <c r="P15" s="6">
        <v>14.193</v>
      </c>
      <c r="Q15" s="6">
        <f t="shared" si="0"/>
        <v>74.769252448390063</v>
      </c>
    </row>
    <row r="16" spans="1:17" x14ac:dyDescent="0.25">
      <c r="A16" s="8">
        <v>43862</v>
      </c>
      <c r="B16" s="2">
        <v>452</v>
      </c>
      <c r="C16" s="2">
        <v>627.1</v>
      </c>
      <c r="D16" s="2">
        <v>451</v>
      </c>
      <c r="E16" s="2">
        <v>0</v>
      </c>
      <c r="F16" s="2">
        <v>0</v>
      </c>
      <c r="G16" s="2">
        <v>0</v>
      </c>
      <c r="H16" s="2">
        <v>0</v>
      </c>
      <c r="I16" s="5">
        <v>9862.7070000000003</v>
      </c>
      <c r="J16" s="5"/>
      <c r="K16" s="5">
        <v>9862.7070000000003</v>
      </c>
      <c r="L16" s="2">
        <v>0</v>
      </c>
      <c r="M16" s="5">
        <v>10.204000000000001</v>
      </c>
      <c r="N16" s="5">
        <v>0</v>
      </c>
      <c r="O16" s="5">
        <v>10.204000000000001</v>
      </c>
      <c r="P16" s="5">
        <v>13.722</v>
      </c>
      <c r="Q16" s="5">
        <f t="shared" si="0"/>
        <v>74.362337851625142</v>
      </c>
    </row>
    <row r="17" spans="1:17" x14ac:dyDescent="0.25">
      <c r="A17" s="9">
        <v>43891</v>
      </c>
      <c r="B17" s="3">
        <v>354</v>
      </c>
      <c r="C17" s="3">
        <v>496.15</v>
      </c>
      <c r="D17" s="3">
        <v>355</v>
      </c>
      <c r="E17" s="3">
        <v>0</v>
      </c>
      <c r="F17" s="3">
        <v>0</v>
      </c>
      <c r="G17" s="3">
        <v>0</v>
      </c>
      <c r="H17" s="3">
        <v>0</v>
      </c>
      <c r="I17" s="6">
        <v>7531.9950000000053</v>
      </c>
      <c r="J17" s="6"/>
      <c r="K17" s="6">
        <v>7531.9950000000053</v>
      </c>
      <c r="L17" s="3">
        <v>0</v>
      </c>
      <c r="M17" s="6">
        <v>7.702</v>
      </c>
      <c r="N17" s="6">
        <v>0</v>
      </c>
      <c r="O17" s="6">
        <v>7.702</v>
      </c>
      <c r="P17" s="6">
        <v>10.879</v>
      </c>
      <c r="Q17" s="6">
        <f t="shared" si="0"/>
        <v>70.796948248919946</v>
      </c>
    </row>
    <row r="18" spans="1:17" x14ac:dyDescent="0.25">
      <c r="A18" s="1" t="s">
        <v>22</v>
      </c>
      <c r="B18" s="4">
        <f>SUM(B6:B17)</f>
        <v>5548</v>
      </c>
      <c r="C18" s="4">
        <f t="shared" ref="C18:H18" si="1">SUM(C6:C17)</f>
        <v>7822.8286666666672</v>
      </c>
      <c r="D18" s="4">
        <f t="shared" si="1"/>
        <v>5503.9668999999994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7">
        <f>SUM(I6:I17)</f>
        <v>122512.30200000004</v>
      </c>
      <c r="J18" s="7">
        <f t="shared" ref="J18:P18" si="2">SUM(J6:J17)</f>
        <v>0</v>
      </c>
      <c r="K18" s="7">
        <f t="shared" si="2"/>
        <v>122512.30200000004</v>
      </c>
      <c r="L18" s="4">
        <f t="shared" si="2"/>
        <v>0</v>
      </c>
      <c r="M18" s="7">
        <f t="shared" si="2"/>
        <v>125.94250600000001</v>
      </c>
      <c r="N18" s="7">
        <f t="shared" si="2"/>
        <v>0</v>
      </c>
      <c r="O18" s="7">
        <f t="shared" si="2"/>
        <v>125.94250600000001</v>
      </c>
      <c r="P18" s="7">
        <f t="shared" si="2"/>
        <v>169.30935000000002</v>
      </c>
      <c r="Q18" s="21">
        <f t="shared" si="0"/>
        <v>74.38603124989848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2020-05-06T11:03:48Z</cp:lastPrinted>
  <dcterms:created xsi:type="dcterms:W3CDTF">2018-10-29T04:00:07Z</dcterms:created>
  <dcterms:modified xsi:type="dcterms:W3CDTF">2021-09-14T22:46:24Z</dcterms:modified>
</cp:coreProperties>
</file>