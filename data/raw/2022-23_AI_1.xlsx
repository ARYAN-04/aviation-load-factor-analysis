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\"/>
    </mc:Choice>
  </mc:AlternateContent>
  <bookViews>
    <workbookView xWindow="0" yWindow="0" windowWidth="17070" windowHeight="9660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2" l="1"/>
  <c r="O18" i="2"/>
  <c r="Q18" i="2" s="1"/>
  <c r="N18" i="2"/>
  <c r="M18" i="2"/>
  <c r="L18" i="2"/>
  <c r="K18" i="2"/>
  <c r="J18" i="2"/>
  <c r="I18" i="2"/>
  <c r="G18" i="2"/>
  <c r="F18" i="2"/>
  <c r="H18" i="2" s="1"/>
  <c r="E18" i="2"/>
  <c r="D18" i="2"/>
  <c r="C18" i="2"/>
  <c r="B18" i="2"/>
  <c r="Q17" i="2"/>
  <c r="Q16" i="2"/>
  <c r="Q15" i="2"/>
  <c r="Q14" i="2"/>
  <c r="Q13" i="2"/>
  <c r="Q12" i="2"/>
  <c r="Q11" i="2"/>
  <c r="Q10" i="2"/>
  <c r="Q9" i="2"/>
  <c r="Q8" i="2"/>
  <c r="Q7" i="2"/>
  <c r="Q6" i="2"/>
  <c r="H17" i="2"/>
  <c r="H16" i="2"/>
  <c r="H15" i="2"/>
  <c r="H14" i="2"/>
  <c r="H13" i="2"/>
  <c r="H12" i="2"/>
  <c r="H11" i="2"/>
  <c r="H10" i="2"/>
  <c r="H9" i="2"/>
  <c r="H8" i="2"/>
  <c r="H7" i="2"/>
  <c r="H6" i="2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<sst xmlns="http://schemas.openxmlformats.org/spreadsheetml/2006/main" count="26" uniqueCount="24">
  <si>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</si>
  <si>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</si>
  <si>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</si>
  <si>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</si>
  <si>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</si>
  <si>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</si>
  <si>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</si>
  <si>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</si>
  <si>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</si>
  <si>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</si>
  <si>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</si>
  <si>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</si>
  <si>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</si>
  <si>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</si>
  <si>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</si>
  <si>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</si>
  <si>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</si>
  <si>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</si>
  <si>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</si>
  <si>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</si>
  <si>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>तालिका 1.01 एयर इंडिया (राष्ट्रीय)</t>
  </si>
  <si>
    <t>2022-23</t>
  </si>
  <si>
    <t xml:space="preserve">Table 1.01 AIR INDIA </t>
  </si>
  <si>
    <t>MONTHLY TRAFFIC AND OPERATING STATISTICS OF AIR INDIA ON SCHEDULED DOMESTIC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</si>
</sst>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0" fontId="2" fillId="3" borderId="1" xfId="2" applyFont="1" applyBorder="1" applyAlignment="1" applyProtection="1">
      <alignment horizontal="center" vertical="center" textRotation="90" wrapText="1"/>
    </xf>
    <xf numFmtId="168" fontId="3" fillId="4" borderId="1" xfId="3" applyNumberFormat="1" applyFont="1" applyBorder="1" applyAlignment="1" applyProtection="1">
      <alignment horizontal="center" vertical="top" wrapText="1"/>
    </xf>
    <xf numFmtId="165" fontId="3" fillId="4" borderId="1" xfId="3" applyNumberFormat="1" applyBorder="1" applyAlignment="1">
      <alignment horizontal="right" vertical="top"/>
    </xf>
    <xf numFmtId="166" fontId="3" fillId="4" borderId="1" xfId="3" applyNumberFormat="1" applyBorder="1" applyAlignment="1">
      <alignment horizontal="right" vertical="top"/>
    </xf>
    <xf numFmtId="168" fontId="2" fillId="2" borderId="1" xfId="0" applyNumberFormat="1" applyFont="1" applyFill="1" applyBorder="1" applyAlignment="1" applyProtection="1">
      <alignment horizontal="center" vertical="top" wrapText="1"/>
    </xf>
    <xf numFmtId="165" fontId="0" fillId="0" borderId="1" xfId="1" applyNumberFormat="1" applyFont="1" applyBorder="1" applyAlignment="1">
      <alignment horizontal="right" vertical="top"/>
    </xf>
    <xf numFmtId="166" fontId="0" fillId="0" borderId="1" xfId="1" applyNumberFormat="1" applyFont="1" applyBorder="1" applyAlignment="1">
      <alignment horizontal="right" vertical="top"/>
    </xf>
    <xf numFmtId="0" fontId="4" fillId="4" borderId="1" xfId="3" applyFont="1" applyBorder="1" applyAlignment="1" applyProtection="1">
      <alignment horizontal="center" vertical="top" wrapText="1"/>
    </xf>
    <xf numFmtId="3" fontId="4" fillId="4" borderId="1" xfId="3" applyNumberFormat="1" applyFont="1" applyBorder="1" applyAlignment="1" applyProtection="1">
      <alignment horizontal="right" vertical="top" wrapText="1"/>
    </xf>
    <xf numFmtId="167" fontId="4" fillId="4" borderId="1" xfId="3" applyNumberFormat="1" applyFont="1" applyBorder="1" applyAlignment="1" applyProtection="1">
      <alignment horizontal="right" vertical="top" wrapText="1"/>
    </xf>
    <xf numFmtId="166" fontId="2" fillId="4" borderId="1" xfId="3" applyNumberFormat="1" applyFont="1" applyBorder="1" applyAlignment="1">
      <alignment horizontal="right" vertical="top"/>
    </xf>
    <xf numFmtId="166" fontId="2" fillId="0" borderId="1" xfId="1" applyNumberFormat="1" applyFont="1" applyBorder="1" applyAlignment="1">
      <alignment horizontal="right" vertical="top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7" zoomScale="118" zoomScaleNormal="118" zoomScaleSheetLayoutView="118" workbookViewId="0">
      <selection activeCell="B18" sqref="B18:Q18"/>
    </sheetView>
  </sheetViews>
  <sheetFormatPr defaultColWidth="9.140625" defaultRowHeight="15" x14ac:dyDescent="0.25"/>
  <cols>
    <col min="1" max="1" width="13.85546875" style="1" customWidth="1"/>
    <col min="2" max="2" width="10.140625" style="1" customWidth="1"/>
    <col min="3" max="3" width="10" style="1" customWidth="1"/>
    <col min="4" max="4" width="9.85546875" style="1" customWidth="1"/>
    <col min="5" max="5" width="11" style="1" customWidth="1"/>
    <col min="6" max="6" width="8.42578125" style="1" customWidth="1"/>
    <col min="7" max="7" width="8.7109375" style="1" customWidth="1"/>
    <col min="8" max="8" width="7.28515625" style="1" customWidth="1"/>
    <col min="9" max="9" width="9.5703125" style="1" customWidth="1"/>
    <col min="10" max="10" width="8.7109375" style="1" customWidth="1"/>
    <col min="11" max="11" width="9.5703125" style="1" customWidth="1"/>
    <col min="12" max="12" width="11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8.7109375" style="1" customWidth="1"/>
    <col min="18" max="16384" width="9.140625" style="1"/>
  </cols>
  <sheetData>
    <row r="1" spans="1:17" ht="15" customHeight="1" x14ac:dyDescent="0.25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5" customHeight="1" x14ac:dyDescent="0.25">
      <c r="A2" s="18" t="s">
        <v>22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5" customHeight="1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30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7" ht="115.5" customHeight="1" x14ac:dyDescent="0.25">
      <c r="A5" s="20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15"/>
      <c r="H5" s="15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15"/>
      <c r="Q5" s="15"/>
    </row>
    <row r="6" spans="1:17" x14ac:dyDescent="0.25">
      <c r="A6" s="3">
        <v>44652</v>
      </c>
      <c r="B6" s="4">
        <v>6716</v>
      </c>
      <c r="C6" s="4">
        <v>12944.68199999999</v>
      </c>
      <c r="D6" s="4">
        <v>7647.9070000000002</v>
      </c>
      <c r="E6" s="4">
        <v>826023</v>
      </c>
      <c r="F6" s="4">
        <v>877.61075199999993</v>
      </c>
      <c r="G6" s="4">
        <v>1103.321694</v>
      </c>
      <c r="H6" s="5">
        <f t="shared" ref="H6:H18" si="0">F6/G6*100</f>
        <v>79.542599114343162</v>
      </c>
      <c r="I6" s="12">
        <v>4546.1389999999983</v>
      </c>
      <c r="J6" s="12">
        <v>2.3321138008266509</v>
      </c>
      <c r="K6" s="12">
        <v>4548.4711138008252</v>
      </c>
      <c r="L6" s="5">
        <v>80.270891000000006</v>
      </c>
      <c r="M6" s="5">
        <v>5.4705649999999997</v>
      </c>
      <c r="N6" s="5">
        <v>1.9784914504288509E-4</v>
      </c>
      <c r="O6" s="5">
        <v>85.741653849145052</v>
      </c>
      <c r="P6" s="5">
        <v>116.19813499999999</v>
      </c>
      <c r="Q6" s="5">
        <f t="shared" ref="Q6:Q18" si="1">O6/P6*100</f>
        <v>73.78918245903435</v>
      </c>
    </row>
    <row r="7" spans="1:17" x14ac:dyDescent="0.25">
      <c r="A7" s="6">
        <v>44682</v>
      </c>
      <c r="B7" s="7">
        <v>6667</v>
      </c>
      <c r="C7" s="7">
        <v>13037.602999999996</v>
      </c>
      <c r="D7" s="7">
        <v>7705.6790000000001</v>
      </c>
      <c r="E7" s="7">
        <v>822814</v>
      </c>
      <c r="F7" s="7">
        <v>883.04032999999993</v>
      </c>
      <c r="G7" s="7">
        <v>1097.018386</v>
      </c>
      <c r="H7" s="8">
        <f t="shared" si="0"/>
        <v>80.494578875727242</v>
      </c>
      <c r="I7" s="13">
        <v>4869.5910000000003</v>
      </c>
      <c r="J7" s="13"/>
      <c r="K7" s="13">
        <v>4869.5910000000003</v>
      </c>
      <c r="L7" s="8">
        <v>80.726755000000011</v>
      </c>
      <c r="M7" s="8">
        <v>5.9424589999999995</v>
      </c>
      <c r="N7" s="8">
        <v>0</v>
      </c>
      <c r="O7" s="8">
        <v>86.669214000000011</v>
      </c>
      <c r="P7" s="8">
        <v>114.267217</v>
      </c>
      <c r="Q7" s="8">
        <f t="shared" si="1"/>
        <v>75.847838317441486</v>
      </c>
    </row>
    <row r="8" spans="1:17" x14ac:dyDescent="0.25">
      <c r="A8" s="3">
        <v>44713</v>
      </c>
      <c r="B8" s="4">
        <v>6824</v>
      </c>
      <c r="C8" s="4">
        <v>13487.566666666675</v>
      </c>
      <c r="D8" s="4">
        <v>7954.482</v>
      </c>
      <c r="E8" s="4">
        <v>783479</v>
      </c>
      <c r="F8" s="4">
        <v>860.62728900000002</v>
      </c>
      <c r="G8" s="4">
        <v>1141.20667</v>
      </c>
      <c r="H8" s="5">
        <f t="shared" si="0"/>
        <v>75.413797660330886</v>
      </c>
      <c r="I8" s="12">
        <v>5240.4439000000048</v>
      </c>
      <c r="J8" s="12"/>
      <c r="K8" s="12">
        <v>5240.4439000000048</v>
      </c>
      <c r="L8" s="5">
        <v>78.602408796999924</v>
      </c>
      <c r="M8" s="5">
        <v>6.2890836873000024</v>
      </c>
      <c r="N8" s="5">
        <v>0</v>
      </c>
      <c r="O8" s="5">
        <v>84.891492484299931</v>
      </c>
      <c r="P8" s="5">
        <v>118.9498640799999</v>
      </c>
      <c r="Q8" s="5">
        <f t="shared" si="1"/>
        <v>71.367456483351717</v>
      </c>
    </row>
    <row r="9" spans="1:17" x14ac:dyDescent="0.25">
      <c r="A9" s="6">
        <v>44743</v>
      </c>
      <c r="B9" s="7">
        <v>7464</v>
      </c>
      <c r="C9" s="7">
        <v>14501.033333333315</v>
      </c>
      <c r="D9" s="7">
        <v>8423.9570000000003</v>
      </c>
      <c r="E9" s="7">
        <v>814028</v>
      </c>
      <c r="F9" s="7">
        <v>868.92266399999994</v>
      </c>
      <c r="G9" s="7">
        <v>1222.4491939999998</v>
      </c>
      <c r="H9" s="8">
        <f t="shared" si="0"/>
        <v>71.080472568089405</v>
      </c>
      <c r="I9" s="13">
        <v>5690.9483999999984</v>
      </c>
      <c r="J9" s="13"/>
      <c r="K9" s="13">
        <v>5690.9483999999984</v>
      </c>
      <c r="L9" s="8">
        <v>79.451921938999988</v>
      </c>
      <c r="M9" s="8">
        <v>6.8649310765000013</v>
      </c>
      <c r="N9" s="8">
        <v>0</v>
      </c>
      <c r="O9" s="8">
        <v>86.316853015499987</v>
      </c>
      <c r="P9" s="8">
        <v>128.24876278000002</v>
      </c>
      <c r="Q9" s="8">
        <f t="shared" si="1"/>
        <v>67.304238375826912</v>
      </c>
    </row>
    <row r="10" spans="1:17" x14ac:dyDescent="0.25">
      <c r="A10" s="3">
        <v>44774</v>
      </c>
      <c r="B10" s="4">
        <v>7591</v>
      </c>
      <c r="C10" s="4">
        <v>14644.983333333317</v>
      </c>
      <c r="D10" s="4">
        <v>8537.1610000000001</v>
      </c>
      <c r="E10" s="4">
        <v>861329</v>
      </c>
      <c r="F10" s="4">
        <v>922.83195599999999</v>
      </c>
      <c r="G10" s="4">
        <v>1253.3903659999999</v>
      </c>
      <c r="H10" s="5">
        <f t="shared" si="0"/>
        <v>73.626858880771067</v>
      </c>
      <c r="I10" s="12">
        <v>5813.1471000000038</v>
      </c>
      <c r="J10" s="12"/>
      <c r="K10" s="12">
        <v>5813.1471000000038</v>
      </c>
      <c r="L10" s="5">
        <v>84.386155872999964</v>
      </c>
      <c r="M10" s="5">
        <v>7.1477800436999956</v>
      </c>
      <c r="N10" s="5">
        <v>0</v>
      </c>
      <c r="O10" s="5">
        <v>91.53393591669996</v>
      </c>
      <c r="P10" s="5">
        <v>133.2915499399999</v>
      </c>
      <c r="Q10" s="5">
        <f t="shared" si="1"/>
        <v>68.67197204766785</v>
      </c>
    </row>
    <row r="11" spans="1:17" x14ac:dyDescent="0.25">
      <c r="A11" s="6">
        <v>44805</v>
      </c>
      <c r="B11" s="7">
        <v>7689</v>
      </c>
      <c r="C11" s="7">
        <v>14766.164000000006</v>
      </c>
      <c r="D11" s="7">
        <v>8533.3469999999998</v>
      </c>
      <c r="E11" s="7">
        <v>948637</v>
      </c>
      <c r="F11" s="7">
        <v>1007.7182419999999</v>
      </c>
      <c r="G11" s="7">
        <v>1265.488756</v>
      </c>
      <c r="H11" s="8">
        <f t="shared" si="0"/>
        <v>79.630754301225878</v>
      </c>
      <c r="I11" s="13">
        <v>6193.3199999999961</v>
      </c>
      <c r="J11" s="13"/>
      <c r="K11" s="13">
        <v>6193.3199999999961</v>
      </c>
      <c r="L11" s="8">
        <v>92.155588000000009</v>
      </c>
      <c r="M11" s="8">
        <v>7.4559300000000004</v>
      </c>
      <c r="N11" s="8">
        <v>0</v>
      </c>
      <c r="O11" s="8">
        <v>99.611518000000018</v>
      </c>
      <c r="P11" s="8">
        <v>134.19699799999998</v>
      </c>
      <c r="Q11" s="8">
        <f t="shared" si="1"/>
        <v>74.227828852028438</v>
      </c>
    </row>
    <row r="12" spans="1:17" x14ac:dyDescent="0.25">
      <c r="A12" s="3">
        <v>44835</v>
      </c>
      <c r="B12" s="4">
        <v>7973</v>
      </c>
      <c r="C12" s="4">
        <v>15282.316666666668</v>
      </c>
      <c r="D12" s="4">
        <v>8852.57</v>
      </c>
      <c r="E12" s="4">
        <v>1037506</v>
      </c>
      <c r="F12" s="4">
        <v>1083.3657860000001</v>
      </c>
      <c r="G12" s="4">
        <v>1310.6137120000001</v>
      </c>
      <c r="H12" s="5">
        <f t="shared" si="0"/>
        <v>82.660953115375307</v>
      </c>
      <c r="I12" s="12">
        <v>6279.2839000000013</v>
      </c>
      <c r="J12" s="12"/>
      <c r="K12" s="12">
        <v>6279.2839000000013</v>
      </c>
      <c r="L12" s="5">
        <v>99.094618792000077</v>
      </c>
      <c r="M12" s="5">
        <v>7.4882576778999956</v>
      </c>
      <c r="N12" s="5">
        <v>0</v>
      </c>
      <c r="O12" s="5">
        <v>106.58287646990007</v>
      </c>
      <c r="P12" s="5">
        <v>138.12232135999997</v>
      </c>
      <c r="Q12" s="5">
        <f t="shared" si="1"/>
        <v>77.165569924142858</v>
      </c>
    </row>
    <row r="13" spans="1:17" x14ac:dyDescent="0.25">
      <c r="A13" s="6">
        <v>44866</v>
      </c>
      <c r="B13" s="7">
        <v>7761</v>
      </c>
      <c r="C13" s="7">
        <v>14921.849999999989</v>
      </c>
      <c r="D13" s="7">
        <v>8586.3140000000003</v>
      </c>
      <c r="E13" s="7">
        <v>1062524</v>
      </c>
      <c r="F13" s="7">
        <v>1099.9376319999999</v>
      </c>
      <c r="G13" s="7">
        <v>1283.540356</v>
      </c>
      <c r="H13" s="8">
        <f t="shared" si="0"/>
        <v>85.695601767273132</v>
      </c>
      <c r="I13" s="13">
        <v>5898.761199999999</v>
      </c>
      <c r="J13" s="13">
        <v>0</v>
      </c>
      <c r="K13" s="13">
        <v>5898.761199999999</v>
      </c>
      <c r="L13" s="8">
        <v>100.66006269200003</v>
      </c>
      <c r="M13" s="8">
        <v>7.0692803066000005</v>
      </c>
      <c r="N13" s="8">
        <v>0</v>
      </c>
      <c r="O13" s="8">
        <v>107.72934299860003</v>
      </c>
      <c r="P13" s="8">
        <v>136.04758577999991</v>
      </c>
      <c r="Q13" s="8">
        <f t="shared" si="1"/>
        <v>79.185045718346828</v>
      </c>
    </row>
    <row r="14" spans="1:17" x14ac:dyDescent="0.25">
      <c r="A14" s="3">
        <v>44896</v>
      </c>
      <c r="B14" s="4">
        <v>8239</v>
      </c>
      <c r="C14" s="4">
        <v>15839.716666666667</v>
      </c>
      <c r="D14" s="4">
        <v>9084.0409999999993</v>
      </c>
      <c r="E14" s="4">
        <v>1170659</v>
      </c>
      <c r="F14" s="4">
        <v>1214.2849979999999</v>
      </c>
      <c r="G14" s="4">
        <v>1359.1690020000001</v>
      </c>
      <c r="H14" s="5">
        <f t="shared" si="0"/>
        <v>89.340251007284209</v>
      </c>
      <c r="I14" s="12">
        <v>6463.4319999999952</v>
      </c>
      <c r="J14" s="12"/>
      <c r="K14" s="12">
        <v>6463.4319999999952</v>
      </c>
      <c r="L14" s="5">
        <v>111.16783104399985</v>
      </c>
      <c r="M14" s="5">
        <v>7.8710459726000002</v>
      </c>
      <c r="N14" s="5">
        <v>0</v>
      </c>
      <c r="O14" s="5">
        <v>119.03887701659986</v>
      </c>
      <c r="P14" s="5">
        <v>144.63734053199971</v>
      </c>
      <c r="Q14" s="5">
        <f t="shared" si="1"/>
        <v>82.301621821001035</v>
      </c>
    </row>
    <row r="15" spans="1:17" x14ac:dyDescent="0.25">
      <c r="A15" s="6">
        <v>44927</v>
      </c>
      <c r="B15" s="7">
        <v>8295</v>
      </c>
      <c r="C15" s="7">
        <v>16310.466666666671</v>
      </c>
      <c r="D15" s="7">
        <v>9174.4570000000003</v>
      </c>
      <c r="E15" s="7">
        <v>1154581</v>
      </c>
      <c r="F15" s="7">
        <v>1199.173837</v>
      </c>
      <c r="G15" s="7">
        <v>1370.587008</v>
      </c>
      <c r="H15" s="8">
        <f t="shared" si="0"/>
        <v>87.493448427609792</v>
      </c>
      <c r="I15" s="13">
        <v>5669.7380999999941</v>
      </c>
      <c r="J15" s="13">
        <v>333.68269370100001</v>
      </c>
      <c r="K15" s="13">
        <v>6003.4207937009942</v>
      </c>
      <c r="L15" s="8">
        <v>109.72390863699995</v>
      </c>
      <c r="M15" s="8">
        <v>7.017113583899997</v>
      </c>
      <c r="N15" s="8">
        <v>0</v>
      </c>
      <c r="O15" s="8">
        <v>116.74102222089995</v>
      </c>
      <c r="P15" s="8">
        <v>145.50210404799986</v>
      </c>
      <c r="Q15" s="8">
        <f t="shared" si="1"/>
        <v>80.233219295844762</v>
      </c>
    </row>
    <row r="16" spans="1:17" x14ac:dyDescent="0.25">
      <c r="A16" s="6">
        <v>44958</v>
      </c>
      <c r="B16" s="7">
        <v>7624</v>
      </c>
      <c r="C16" s="7">
        <v>14934.633333333335</v>
      </c>
      <c r="D16" s="7">
        <v>8347.7260000000006</v>
      </c>
      <c r="E16" s="7">
        <v>1076299</v>
      </c>
      <c r="F16" s="7">
        <v>1117.616528</v>
      </c>
      <c r="G16" s="7">
        <v>1256.131558</v>
      </c>
      <c r="H16" s="8">
        <f t="shared" si="0"/>
        <v>88.972888299968972</v>
      </c>
      <c r="I16" s="8">
        <v>5381.1907000000001</v>
      </c>
      <c r="J16" s="8">
        <v>440.61390485103396</v>
      </c>
      <c r="K16" s="8">
        <v>5821.8046048510341</v>
      </c>
      <c r="L16" s="8">
        <v>102.25943730999994</v>
      </c>
      <c r="M16" s="8">
        <v>6.6748742474999956</v>
      </c>
      <c r="N16" s="8">
        <v>0.52066028032793077</v>
      </c>
      <c r="O16" s="8">
        <v>109.45497183782786</v>
      </c>
      <c r="P16" s="8">
        <v>133.06002066399989</v>
      </c>
      <c r="Q16" s="8">
        <f t="shared" si="1"/>
        <v>82.25984881982022</v>
      </c>
    </row>
    <row r="17" spans="1:17" x14ac:dyDescent="0.25">
      <c r="A17" s="6">
        <v>44986</v>
      </c>
      <c r="B17" s="7">
        <v>8434</v>
      </c>
      <c r="C17" s="7">
        <v>16537.919999999995</v>
      </c>
      <c r="D17" s="7">
        <v>9248.7639999999992</v>
      </c>
      <c r="E17" s="7">
        <v>1139044</v>
      </c>
      <c r="F17" s="7">
        <v>1186.7887560000001</v>
      </c>
      <c r="G17" s="7">
        <v>1394.1830500000001</v>
      </c>
      <c r="H17" s="8">
        <f t="shared" si="0"/>
        <v>85.12431391272473</v>
      </c>
      <c r="I17" s="8">
        <v>6295.5920000000006</v>
      </c>
      <c r="J17" s="8">
        <v>350.56938393238204</v>
      </c>
      <c r="K17" s="8">
        <v>6646.1613839323827</v>
      </c>
      <c r="L17" s="8">
        <v>108.537655</v>
      </c>
      <c r="M17" s="8">
        <v>7.8976130000000007</v>
      </c>
      <c r="N17" s="8">
        <v>0.38806117432776266</v>
      </c>
      <c r="O17" s="8">
        <v>116.82332917432777</v>
      </c>
      <c r="P17" s="8">
        <v>147.556578</v>
      </c>
      <c r="Q17" s="8">
        <f t="shared" si="1"/>
        <v>79.171888341248859</v>
      </c>
    </row>
    <row r="18" spans="1:17" ht="26.25" customHeight="1" x14ac:dyDescent="0.25">
      <c r="A18" s="9" t="s">
        <v>21</v>
      </c>
      <c r="B18" s="10">
        <f>SUM(B6:B17)</f>
        <v>91277</v>
      </c>
      <c r="C18" s="10">
        <f t="shared" ref="C18:G18" si="2">SUM(C6:C17)</f>
        <v>177208.93566666663</v>
      </c>
      <c r="D18" s="10">
        <f t="shared" si="2"/>
        <v>102096.40499999998</v>
      </c>
      <c r="E18" s="10">
        <f t="shared" si="2"/>
        <v>11696923</v>
      </c>
      <c r="F18" s="10">
        <f t="shared" si="2"/>
        <v>12321.91877</v>
      </c>
      <c r="G18" s="10">
        <f t="shared" si="2"/>
        <v>15057.099751999998</v>
      </c>
      <c r="H18" s="11">
        <f t="shared" si="0"/>
        <v>81.83460940652472</v>
      </c>
      <c r="I18" s="11">
        <f>SUM(I6:I17)</f>
        <v>68341.587299999985</v>
      </c>
      <c r="J18" s="11">
        <f t="shared" ref="J18:P18" si="3">SUM(J6:J17)</f>
        <v>1127.1980962852426</v>
      </c>
      <c r="K18" s="11">
        <f t="shared" si="3"/>
        <v>69468.785396285224</v>
      </c>
      <c r="L18" s="11">
        <f t="shared" si="3"/>
        <v>1127.0372340839997</v>
      </c>
      <c r="M18" s="11">
        <f t="shared" si="3"/>
        <v>83.188933595999998</v>
      </c>
      <c r="N18" s="11">
        <f t="shared" si="3"/>
        <v>0.90891930380073627</v>
      </c>
      <c r="O18" s="11">
        <f t="shared" si="3"/>
        <v>1211.1350869838004</v>
      </c>
      <c r="P18" s="11">
        <f t="shared" si="3"/>
        <v>1590.0784771839992</v>
      </c>
      <c r="Q18" s="11">
        <f t="shared" si="1"/>
        <v>76.168258633919706</v>
      </c>
    </row>
    <row r="19" spans="1:17" ht="15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2020-06-09T07:48:29Z</cp:lastPrinted>
  <dcterms:created xsi:type="dcterms:W3CDTF">2018-10-29T04:00:07Z</dcterms:created>
  <dcterms:modified xsi:type="dcterms:W3CDTF">2023-10-11T06:53:01Z</dcterms:modified>
</cp:coreProperties>
</file>