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Annuaal table 2022-23\EXCEL\EXCEL\ALLIANCE AIR\"/>
    </mc:Choice>
  </mc:AlternateContent>
  <bookViews>
    <workbookView xWindow="0" yWindow="0" windowWidth="24000" windowHeight="9435"/>
  </bookViews>
  <sheets>
    <sheet name="ALLIANCE AIR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8" i="1" l="1"/>
  <c r="P18" i="1"/>
  <c r="O18" i="1"/>
  <c r="N18" i="1"/>
  <c r="M18" i="1"/>
  <c r="L18" i="1"/>
  <c r="K18" i="1"/>
  <c r="J18" i="1"/>
  <c r="I18" i="1"/>
  <c r="G18" i="1"/>
  <c r="F18" i="1"/>
  <c r="H18" i="1" s="1"/>
  <c r="E18" i="1"/>
  <c r="D18" i="1"/>
  <c r="C18" i="1"/>
  <c r="B18" i="1"/>
  <c r="Q17" i="1"/>
  <c r="Q16" i="1"/>
  <c r="Q15" i="1"/>
  <c r="Q14" i="1"/>
  <c r="H17" i="1"/>
  <c r="H16" i="1"/>
  <c r="H15" i="1"/>
  <c r="H14" i="1"/>
</calcChain>
</file>

<file path=xl/sharedStrings.xml><?xml version="1.0" encoding="utf-8"?>
<sst xmlns="http://schemas.openxmlformats.org/spreadsheetml/2006/main" count="26" uniqueCount="24">
  <si>
    <t xml:space="preserve">तालिका - 1.02 (एलाइंस एयर) </t>
  </si>
  <si>
    <t>Table 1.02 (ALLIANCE AIR)</t>
  </si>
  <si>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</si>
  <si>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</si>
  <si>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</si>
  <si>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</si>
  <si>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</si>
  <si>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</si>
  <si>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</si>
  <si>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</si>
  <si>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</si>
  <si>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</si>
  <si>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</si>
  <si>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</si>
  <si>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</si>
  <si>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</si>
  <si>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</si>
  <si>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</si>
  <si>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</si>
  <si>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</si>
  <si>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</si>
  <si>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ALLIANCE AIR</t>
  </si>
  <si>
    <t>2022-23</t>
  </si>
  <si>
    <t>MONTHLY TRAFFIC AND OPERATING STATISTICS OF ALLIANCE AIR ON SCHEDULED INTERNATIONAL SERVICES DURING 2022-23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</si>
</sst>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.0_);_(* \(#,##0.0\);_(* &quot;-&quot;??_);_(@_)"/>
    <numFmt numFmtId="165" formatCode="B1mmmm/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18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5" fillId="0" borderId="1" xfId="1" applyNumberFormat="1" applyFont="1" applyFill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1" fillId="3" borderId="1" xfId="3" applyNumberFormat="1" applyBorder="1" applyAlignment="1" applyProtection="1">
      <alignment horizontal="center" vertical="center" wrapText="1"/>
    </xf>
    <xf numFmtId="165" fontId="1" fillId="5" borderId="1" xfId="3" applyNumberForma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6" fillId="4" borderId="2" xfId="0" applyFont="1" applyFill="1" applyBorder="1" applyAlignment="1" applyProtection="1">
      <alignment horizontal="left" vertical="center" wrapText="1"/>
    </xf>
    <xf numFmtId="0" fontId="6" fillId="4" borderId="3" xfId="0" applyFont="1" applyFill="1" applyBorder="1" applyAlignment="1" applyProtection="1">
      <alignment horizontal="left" vertical="center" wrapText="1"/>
    </xf>
    <xf numFmtId="0" fontId="6" fillId="4" borderId="4" xfId="0" applyFont="1" applyFill="1" applyBorder="1" applyAlignment="1" applyProtection="1">
      <alignment horizontal="left" vertical="center" wrapText="1"/>
    </xf>
    <xf numFmtId="0" fontId="4" fillId="3" borderId="1" xfId="3" applyFont="1" applyBorder="1" applyAlignment="1">
      <alignment horizontal="center" vertical="center" wrapText="1"/>
    </xf>
    <xf numFmtId="0" fontId="4" fillId="3" borderId="1" xfId="3" quotePrefix="1" applyFont="1" applyBorder="1" applyAlignment="1" applyProtection="1">
      <alignment horizontal="center" vertical="center" wrapText="1"/>
    </xf>
    <xf numFmtId="0" fontId="4" fillId="3" borderId="1" xfId="3" applyFont="1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  <xf numFmtId="164" fontId="2" fillId="3" borderId="1" xfId="3" applyNumberFormat="1" applyFont="1" applyBorder="1" applyAlignment="1">
      <alignment horizontal="center" vertical="center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zoomScale="96" zoomScaleNormal="96" workbookViewId="0">
      <selection activeCell="R3" sqref="R3"/>
    </sheetView>
  </sheetViews>
  <sheetFormatPr defaultRowHeight="15" x14ac:dyDescent="0.25"/>
  <cols>
    <col min="1" max="1" width="13" customWidth="1"/>
    <col min="2" max="4" width="7.42578125" customWidth="1"/>
    <col min="5" max="5" width="8.28515625" customWidth="1"/>
    <col min="6" max="17" width="7.42578125" customWidth="1"/>
  </cols>
  <sheetData>
    <row r="1" spans="1:17" ht="19.149999999999999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17" ht="19.149999999999999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19.149999999999999" customHeight="1" x14ac:dyDescent="0.25">
      <c r="A3" s="15" t="s">
        <v>23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</row>
    <row r="4" spans="1:17" ht="38.450000000000003" customHeight="1" x14ac:dyDescent="0.25">
      <c r="A4" s="15" t="s">
        <v>2</v>
      </c>
      <c r="B4" s="15" t="s">
        <v>3</v>
      </c>
      <c r="C4" s="15"/>
      <c r="D4" s="15"/>
      <c r="E4" s="15" t="s">
        <v>4</v>
      </c>
      <c r="F4" s="16"/>
      <c r="G4" s="7" t="s">
        <v>5</v>
      </c>
      <c r="H4" s="7" t="s">
        <v>6</v>
      </c>
      <c r="I4" s="15" t="s">
        <v>7</v>
      </c>
      <c r="J4" s="15"/>
      <c r="K4" s="15"/>
      <c r="L4" s="15" t="s">
        <v>8</v>
      </c>
      <c r="M4" s="15"/>
      <c r="N4" s="15"/>
      <c r="O4" s="15"/>
      <c r="P4" s="7" t="s">
        <v>9</v>
      </c>
      <c r="Q4" s="7" t="s">
        <v>10</v>
      </c>
    </row>
    <row r="5" spans="1:17" ht="97.9" customHeight="1" x14ac:dyDescent="0.25">
      <c r="A5" s="15"/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8"/>
      <c r="H5" s="8"/>
      <c r="I5" s="4" t="s">
        <v>16</v>
      </c>
      <c r="J5" s="4" t="s">
        <v>17</v>
      </c>
      <c r="K5" s="4" t="s">
        <v>18</v>
      </c>
      <c r="L5" s="4" t="s">
        <v>19</v>
      </c>
      <c r="M5" s="4" t="s">
        <v>20</v>
      </c>
      <c r="N5" s="4" t="s">
        <v>17</v>
      </c>
      <c r="O5" s="4" t="s">
        <v>18</v>
      </c>
      <c r="P5" s="8"/>
      <c r="Q5" s="8"/>
    </row>
    <row r="6" spans="1:17" ht="19.149999999999999" customHeight="1" x14ac:dyDescent="0.25">
      <c r="A6" s="5">
        <v>44652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</row>
    <row r="7" spans="1:17" ht="19.149999999999999" customHeight="1" x14ac:dyDescent="0.25">
      <c r="A7" s="6">
        <v>44682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17" ht="19.149999999999999" customHeight="1" x14ac:dyDescent="0.25">
      <c r="A8" s="5">
        <v>44713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</row>
    <row r="9" spans="1:17" ht="19.149999999999999" customHeight="1" x14ac:dyDescent="0.25">
      <c r="A9" s="6">
        <v>44743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</row>
    <row r="10" spans="1:17" ht="19.149999999999999" customHeight="1" x14ac:dyDescent="0.25">
      <c r="A10" s="5">
        <v>44774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</row>
    <row r="11" spans="1:17" ht="19.149999999999999" customHeight="1" x14ac:dyDescent="0.25">
      <c r="A11" s="6">
        <v>44805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</row>
    <row r="12" spans="1:17" ht="19.149999999999999" customHeight="1" x14ac:dyDescent="0.25">
      <c r="A12" s="5">
        <v>44835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</row>
    <row r="13" spans="1:17" ht="19.149999999999999" customHeight="1" x14ac:dyDescent="0.25">
      <c r="A13" s="6">
        <v>44866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</row>
    <row r="14" spans="1:17" ht="19.149999999999999" customHeight="1" x14ac:dyDescent="0.25">
      <c r="A14" s="5">
        <v>44896</v>
      </c>
      <c r="B14" s="1">
        <v>24</v>
      </c>
      <c r="C14" s="1">
        <v>33</v>
      </c>
      <c r="D14" s="1">
        <v>8</v>
      </c>
      <c r="E14" s="1">
        <v>585</v>
      </c>
      <c r="F14" s="1">
        <v>0.20699999999999999</v>
      </c>
      <c r="G14" s="1">
        <v>0.54200000000000004</v>
      </c>
      <c r="H14" s="1">
        <f t="shared" ref="H14:H17" si="0">F14/G14*100</f>
        <v>38.191881918819185</v>
      </c>
      <c r="I14" s="1">
        <v>0</v>
      </c>
      <c r="J14" s="1">
        <v>0</v>
      </c>
      <c r="K14" s="1">
        <v>0</v>
      </c>
      <c r="L14" s="1">
        <v>1.967E-2</v>
      </c>
      <c r="M14" s="1">
        <v>0</v>
      </c>
      <c r="N14" s="1">
        <v>0</v>
      </c>
      <c r="O14" s="1">
        <v>1.967E-2</v>
      </c>
      <c r="P14" s="1">
        <v>5.0976E-2</v>
      </c>
      <c r="Q14" s="1">
        <f t="shared" ref="Q14:Q18" si="1">O14/P14*100</f>
        <v>38.586785938480858</v>
      </c>
    </row>
    <row r="15" spans="1:17" ht="19.149999999999999" customHeight="1" x14ac:dyDescent="0.25">
      <c r="A15" s="6">
        <v>44927</v>
      </c>
      <c r="B15" s="2">
        <v>36</v>
      </c>
      <c r="C15" s="2">
        <v>44</v>
      </c>
      <c r="D15" s="2">
        <v>12.744</v>
      </c>
      <c r="E15" s="2">
        <v>1692</v>
      </c>
      <c r="F15" s="2">
        <v>0.59896799999999994</v>
      </c>
      <c r="G15" s="2">
        <v>0.81136800000000009</v>
      </c>
      <c r="H15" s="2">
        <f t="shared" si="0"/>
        <v>73.821989528795797</v>
      </c>
      <c r="I15" s="2">
        <v>0</v>
      </c>
      <c r="J15" s="2">
        <v>0</v>
      </c>
      <c r="K15" s="2">
        <v>0</v>
      </c>
      <c r="L15" s="2">
        <v>5.7500928E-2</v>
      </c>
      <c r="M15" s="2">
        <v>0</v>
      </c>
      <c r="N15" s="2">
        <v>0</v>
      </c>
      <c r="O15" s="2">
        <v>5.7500928E-2</v>
      </c>
      <c r="P15" s="2">
        <v>8.6659199999999992E-2</v>
      </c>
      <c r="Q15" s="2">
        <f t="shared" si="1"/>
        <v>66.352941176470594</v>
      </c>
    </row>
    <row r="16" spans="1:17" ht="19.149999999999999" customHeight="1" x14ac:dyDescent="0.25">
      <c r="A16" s="5">
        <v>44958</v>
      </c>
      <c r="B16" s="1">
        <v>32</v>
      </c>
      <c r="C16" s="1">
        <v>45</v>
      </c>
      <c r="D16" s="1">
        <v>11.327999999999999</v>
      </c>
      <c r="E16" s="1">
        <v>1958</v>
      </c>
      <c r="F16" s="1">
        <v>0.69299999999999995</v>
      </c>
      <c r="G16" s="1">
        <v>0.73499999999999999</v>
      </c>
      <c r="H16" s="1">
        <f t="shared" si="0"/>
        <v>94.285714285714278</v>
      </c>
      <c r="I16" s="1">
        <v>0</v>
      </c>
      <c r="J16" s="1">
        <v>0</v>
      </c>
      <c r="K16" s="1">
        <v>0</v>
      </c>
      <c r="L16" s="1">
        <v>6.2381879999999994E-2</v>
      </c>
      <c r="M16" s="1">
        <v>0</v>
      </c>
      <c r="N16" s="1">
        <v>0</v>
      </c>
      <c r="O16" s="1">
        <v>6.2381879999999994E-2</v>
      </c>
      <c r="P16" s="1">
        <v>7.5331200000000001E-2</v>
      </c>
      <c r="Q16" s="1">
        <f t="shared" si="1"/>
        <v>82.810150375939841</v>
      </c>
    </row>
    <row r="17" spans="1:17" ht="19.149999999999999" customHeight="1" x14ac:dyDescent="0.25">
      <c r="A17" s="6">
        <v>44986</v>
      </c>
      <c r="B17" s="2">
        <v>32</v>
      </c>
      <c r="C17" s="2">
        <v>45.333333333333343</v>
      </c>
      <c r="D17" s="2">
        <v>11.327999999999999</v>
      </c>
      <c r="E17" s="2">
        <v>1922</v>
      </c>
      <c r="F17" s="2">
        <v>0.68038799999999999</v>
      </c>
      <c r="G17" s="2">
        <v>0.71508000000000005</v>
      </c>
      <c r="H17" s="2">
        <f t="shared" si="0"/>
        <v>95.148514851485146</v>
      </c>
      <c r="I17" s="2">
        <v>0</v>
      </c>
      <c r="J17" s="2">
        <v>0</v>
      </c>
      <c r="K17" s="2">
        <v>0</v>
      </c>
      <c r="L17" s="2">
        <v>6.1234920000000005E-2</v>
      </c>
      <c r="M17" s="2">
        <v>0</v>
      </c>
      <c r="N17" s="2">
        <v>0</v>
      </c>
      <c r="O17" s="2">
        <v>6.1234920000000005E-2</v>
      </c>
      <c r="P17" s="2">
        <v>7.5331200000000001E-2</v>
      </c>
      <c r="Q17" s="2">
        <f t="shared" si="1"/>
        <v>81.287593984962413</v>
      </c>
    </row>
    <row r="18" spans="1:17" ht="19.149999999999999" customHeight="1" x14ac:dyDescent="0.25">
      <c r="A18" s="3" t="s">
        <v>22</v>
      </c>
      <c r="B18" s="17">
        <f>SUM(B6:B17)</f>
        <v>124</v>
      </c>
      <c r="C18" s="17">
        <f t="shared" ref="C18:G18" si="2">SUM(C6:C17)</f>
        <v>167.33333333333334</v>
      </c>
      <c r="D18" s="17">
        <f t="shared" si="2"/>
        <v>43.400000000000006</v>
      </c>
      <c r="E18" s="17">
        <f t="shared" si="2"/>
        <v>6157</v>
      </c>
      <c r="F18" s="17">
        <f t="shared" si="2"/>
        <v>2.1793559999999998</v>
      </c>
      <c r="G18" s="17">
        <f t="shared" si="2"/>
        <v>2.8034479999999999</v>
      </c>
      <c r="H18" s="17">
        <f>F18/G18*100</f>
        <v>77.738413553595436</v>
      </c>
      <c r="I18" s="17">
        <f t="shared" ref="I18" si="3">SUM(I6:I17)</f>
        <v>0</v>
      </c>
      <c r="J18" s="17">
        <f t="shared" ref="J18:P18" si="4">SUM(J6:J17)</f>
        <v>0</v>
      </c>
      <c r="K18" s="17">
        <f t="shared" si="4"/>
        <v>0</v>
      </c>
      <c r="L18" s="17">
        <f t="shared" si="4"/>
        <v>0.200787728</v>
      </c>
      <c r="M18" s="17">
        <f t="shared" si="4"/>
        <v>0</v>
      </c>
      <c r="N18" s="17">
        <f t="shared" si="4"/>
        <v>0</v>
      </c>
      <c r="O18" s="17">
        <f t="shared" si="4"/>
        <v>0.200787728</v>
      </c>
      <c r="P18" s="17">
        <f t="shared" si="4"/>
        <v>0.28829759999999999</v>
      </c>
      <c r="Q18" s="17">
        <f t="shared" si="1"/>
        <v>69.645993584407222</v>
      </c>
    </row>
    <row r="19" spans="1:17" ht="19.149999999999999" customHeight="1" x14ac:dyDescent="0.25">
      <c r="A19" s="9" t="s">
        <v>21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1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0866141732283472" right="0.70866141732283472" top="0.74803149606299213" bottom="0.74803149606299213" header="0.31496062992125984" footer="0.31496062992125984"/>
  <pageSetup paperSize="9" scale="9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ALLIANCE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Windows User</cp:lastModifiedBy>
  <cp:lastPrinted>2022-04-25T11:51:31Z</cp:lastPrinted>
  <dcterms:created xsi:type="dcterms:W3CDTF">2020-05-22T09:06:28Z</dcterms:created>
  <dcterms:modified xsi:type="dcterms:W3CDTF">2023-08-07T09:46:58Z</dcterms:modified>
</cp:coreProperties>
</file>