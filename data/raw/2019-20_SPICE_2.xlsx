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5. SPICEJET\"/>
    </mc:Choice>
  </mc:AlternateContent>
  <bookViews>
    <workbookView showHorizontalScroll="0" showVerticalScroll="0" xWindow="0" yWindow="0" windowWidth="24000" windowHeight="9435"/>
  </bookViews>
  <sheets>
    <sheet name="SPICEJET" sheetId="6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6" l="1"/>
  <c r="Q8" i="6"/>
  <c r="Q9" i="6"/>
  <c r="Q10" i="6"/>
  <c r="Q11" i="6"/>
  <c r="Q12" i="6"/>
  <c r="Q13" i="6"/>
  <c r="Q14" i="6"/>
  <c r="Q15" i="6"/>
  <c r="Q16" i="6"/>
  <c r="Q17" i="6"/>
  <c r="Q6" i="6"/>
  <c r="H7" i="6"/>
  <c r="H8" i="6"/>
  <c r="H9" i="6"/>
  <c r="H10" i="6"/>
  <c r="H11" i="6"/>
  <c r="H12" i="6"/>
  <c r="H13" i="6"/>
  <c r="H14" i="6"/>
  <c r="H15" i="6"/>
  <c r="H16" i="6"/>
  <c r="H17" i="6"/>
  <c r="H6" i="6"/>
  <c r="M18" i="6" l="1"/>
  <c r="K18" i="6"/>
  <c r="J18" i="6"/>
  <c r="I18" i="6"/>
  <c r="B18" i="6"/>
  <c r="L18" i="6"/>
  <c r="F18" i="6"/>
  <c r="H18" i="6" s="1"/>
  <c r="C18" i="6"/>
  <c r="P18" i="6"/>
  <c r="O18" i="6"/>
  <c r="Q18" i="6" s="1"/>
  <c r="N18" i="6"/>
  <c r="G18" i="6"/>
  <c r="E18" i="6"/>
  <c r="D18" i="6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<sst xmlns="http://schemas.openxmlformats.org/spreadsheetml/2006/main" count="26" uniqueCount="24">
  <si>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</si>
  <si>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</si>
  <si>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</si>
  <si>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</si>
  <si>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</si>
  <si>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</si>
  <si>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</si>
  <si>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</si>
  <si>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</si>
  <si>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</si>
  <si>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</si>
  <si>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</si>
  <si>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</si>
  <si>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</si>
  <si>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</si>
  <si>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</si>
  <si>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</si>
  <si>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</si>
  <si>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</si>
  <si>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- 1.02 (स्पाइसजेट) </t>
  </si>
  <si>
    <t>Table 1.02 (SPICEJET)</t>
  </si>
  <si>
    <t>SOURCE:-  ICAO ATR FORM 'A' FURNISHED BY SPICEJET</t>
  </si>
  <si>
    <t>2019-20</t>
  </si>
  <si>
    <t>MONTHLY TRAFFIC AND OPERATING STATISTICS OF SPICEJET ON SCHEDULED INTERNATIONAL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</si>
</sst>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19">
    <xf numFmtId="0" fontId="0" fillId="0" borderId="0" xfId="0"/>
    <xf numFmtId="17" fontId="2" fillId="2" borderId="1" xfId="0" applyNumberFormat="1" applyFont="1" applyFill="1" applyBorder="1" applyAlignment="1" applyProtection="1">
      <alignment horizontal="center" vertical="center" wrapText="1"/>
    </xf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7" fontId="3" fillId="4" borderId="1" xfId="3" applyNumberForma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zoomScaleNormal="100" workbookViewId="0">
      <selection activeCell="A4" sqref="A4:A5"/>
    </sheetView>
  </sheetViews>
  <sheetFormatPr defaultRowHeight="15" x14ac:dyDescent="0.25"/>
  <cols>
    <col min="1" max="1" width="7.85546875" customWidth="1"/>
    <col min="2" max="2" width="7.7109375" customWidth="1"/>
    <col min="3" max="3" width="8" customWidth="1"/>
    <col min="4" max="4" width="7.5703125" customWidth="1"/>
    <col min="5" max="5" width="10.28515625" customWidth="1"/>
    <col min="6" max="6" width="6.5703125" customWidth="1"/>
    <col min="7" max="7" width="7.42578125" customWidth="1"/>
    <col min="8" max="8" width="7.140625" customWidth="1"/>
    <col min="9" max="9" width="9.140625" customWidth="1"/>
    <col min="10" max="10" width="5.140625" customWidth="1"/>
    <col min="11" max="11" width="9.140625" customWidth="1"/>
    <col min="12" max="12" width="7.85546875" customWidth="1"/>
    <col min="13" max="13" width="7" customWidth="1"/>
    <col min="14" max="14" width="5.85546875" customWidth="1"/>
    <col min="15" max="15" width="6.5703125" customWidth="1"/>
    <col min="17" max="17" width="7.28515625" customWidth="1"/>
  </cols>
  <sheetData>
    <row r="1" spans="1:17" ht="15" customHeight="1" x14ac:dyDescent="0.25">
      <c r="A1" s="12" t="s">
        <v>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" customHeight="1" x14ac:dyDescent="0.25">
      <c r="A2" s="13" t="s">
        <v>20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15" customHeight="1" x14ac:dyDescent="0.25">
      <c r="A3" s="15" t="s">
        <v>23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ht="31.9" customHeight="1" x14ac:dyDescent="0.25">
      <c r="A4" s="15" t="s">
        <v>0</v>
      </c>
      <c r="B4" s="15" t="s">
        <v>1</v>
      </c>
      <c r="C4" s="15"/>
      <c r="D4" s="15"/>
      <c r="E4" s="15" t="s">
        <v>2</v>
      </c>
      <c r="F4" s="16"/>
      <c r="G4" s="17" t="s">
        <v>3</v>
      </c>
      <c r="H4" s="17" t="s">
        <v>4</v>
      </c>
      <c r="I4" s="15" t="s">
        <v>5</v>
      </c>
      <c r="J4" s="15"/>
      <c r="K4" s="15"/>
      <c r="L4" s="15" t="s">
        <v>6</v>
      </c>
      <c r="M4" s="15"/>
      <c r="N4" s="15"/>
      <c r="O4" s="15"/>
      <c r="P4" s="17" t="s">
        <v>7</v>
      </c>
      <c r="Q4" s="17" t="s">
        <v>8</v>
      </c>
    </row>
    <row r="5" spans="1:17" ht="114.75" customHeight="1" x14ac:dyDescent="0.25">
      <c r="A5" s="15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8"/>
      <c r="H5" s="18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8"/>
      <c r="Q5" s="18"/>
    </row>
    <row r="6" spans="1:17" x14ac:dyDescent="0.25">
      <c r="A6" s="4">
        <v>43556</v>
      </c>
      <c r="B6" s="5">
        <v>1245</v>
      </c>
      <c r="C6" s="5">
        <v>3695</v>
      </c>
      <c r="D6" s="5">
        <v>2558.3809999999999</v>
      </c>
      <c r="E6" s="5">
        <v>196256</v>
      </c>
      <c r="F6" s="5">
        <v>432.56648899999999</v>
      </c>
      <c r="G6" s="5">
        <v>477.90462099999996</v>
      </c>
      <c r="H6" s="6">
        <f>F6/G6*100</f>
        <v>90.513142161058951</v>
      </c>
      <c r="I6" s="6">
        <v>2685.1669400000001</v>
      </c>
      <c r="J6" s="6">
        <v>0</v>
      </c>
      <c r="K6" s="6">
        <v>2685.1669400000001</v>
      </c>
      <c r="L6" s="6">
        <v>32.442489999999999</v>
      </c>
      <c r="M6" s="6">
        <v>1.9323399999999999</v>
      </c>
      <c r="N6" s="6">
        <v>0</v>
      </c>
      <c r="O6" s="6">
        <v>34.374830000000003</v>
      </c>
      <c r="P6" s="6">
        <v>40.601860000000002</v>
      </c>
      <c r="Q6" s="6">
        <f>O6/P6*100</f>
        <v>84.663190307045042</v>
      </c>
    </row>
    <row r="7" spans="1:17" x14ac:dyDescent="0.25">
      <c r="A7" s="1">
        <v>43586</v>
      </c>
      <c r="B7" s="2">
        <v>1381</v>
      </c>
      <c r="C7" s="2">
        <v>4287</v>
      </c>
      <c r="D7" s="2">
        <v>2982.134</v>
      </c>
      <c r="E7" s="2">
        <v>213048</v>
      </c>
      <c r="F7" s="2">
        <v>499.45580999999999</v>
      </c>
      <c r="G7" s="2">
        <v>558.14095200000008</v>
      </c>
      <c r="H7" s="3">
        <f t="shared" ref="H7:H18" si="0">F7/G7*100</f>
        <v>89.485605421047822</v>
      </c>
      <c r="I7" s="3">
        <v>1454.768267555</v>
      </c>
      <c r="J7" s="3">
        <v>0</v>
      </c>
      <c r="K7" s="3">
        <v>1454.768267555</v>
      </c>
      <c r="L7" s="3">
        <v>37.459185769999998</v>
      </c>
      <c r="M7" s="3">
        <v>1.86981967</v>
      </c>
      <c r="N7" s="3">
        <v>0</v>
      </c>
      <c r="O7" s="3">
        <v>39.329005439999996</v>
      </c>
      <c r="P7" s="3">
        <v>47.417178999999997</v>
      </c>
      <c r="Q7" s="3">
        <f t="shared" ref="Q7:Q18" si="1">O7/P7*100</f>
        <v>82.942524775672538</v>
      </c>
    </row>
    <row r="8" spans="1:17" x14ac:dyDescent="0.25">
      <c r="A8" s="4">
        <v>43617</v>
      </c>
      <c r="B8" s="5">
        <v>1403</v>
      </c>
      <c r="C8" s="5">
        <v>4300</v>
      </c>
      <c r="D8" s="5">
        <v>3068</v>
      </c>
      <c r="E8" s="5">
        <v>215338</v>
      </c>
      <c r="F8" s="5">
        <v>496.01872399999996</v>
      </c>
      <c r="G8" s="5">
        <v>573.17256299999997</v>
      </c>
      <c r="H8" s="6">
        <f t="shared" si="0"/>
        <v>86.539160458732567</v>
      </c>
      <c r="I8" s="6">
        <v>1422.3067199999998</v>
      </c>
      <c r="J8" s="6">
        <v>0</v>
      </c>
      <c r="K8" s="6">
        <v>1422.3067199999998</v>
      </c>
      <c r="L8" s="6">
        <v>37.201404280000006</v>
      </c>
      <c r="M8" s="6">
        <v>2.00564689</v>
      </c>
      <c r="N8" s="6">
        <v>0</v>
      </c>
      <c r="O8" s="6">
        <v>39.207051170000007</v>
      </c>
      <c r="P8" s="6">
        <v>48.817239999999998</v>
      </c>
      <c r="Q8" s="6">
        <f t="shared" si="1"/>
        <v>80.313944766234229</v>
      </c>
    </row>
    <row r="9" spans="1:17" x14ac:dyDescent="0.25">
      <c r="A9" s="1">
        <v>43647</v>
      </c>
      <c r="B9" s="2">
        <v>1579</v>
      </c>
      <c r="C9" s="2">
        <v>4758</v>
      </c>
      <c r="D9" s="2">
        <v>3418.64</v>
      </c>
      <c r="E9" s="2">
        <v>223510</v>
      </c>
      <c r="F9" s="2">
        <v>510.37539799999996</v>
      </c>
      <c r="G9" s="2">
        <v>623.32798500000001</v>
      </c>
      <c r="H9" s="3">
        <f t="shared" si="0"/>
        <v>81.879108636523029</v>
      </c>
      <c r="I9" s="3">
        <v>2117.6641599999998</v>
      </c>
      <c r="J9" s="3">
        <v>0</v>
      </c>
      <c r="K9" s="3">
        <v>2117.6641599999998</v>
      </c>
      <c r="L9" s="3">
        <v>38.278154880000002</v>
      </c>
      <c r="M9" s="3">
        <v>2.7033084199999999</v>
      </c>
      <c r="N9" s="3">
        <v>0</v>
      </c>
      <c r="O9" s="3">
        <v>40.981463300000001</v>
      </c>
      <c r="P9" s="3">
        <v>54.258760000000002</v>
      </c>
      <c r="Q9" s="3">
        <f t="shared" si="1"/>
        <v>75.529671706467312</v>
      </c>
    </row>
    <row r="10" spans="1:17" x14ac:dyDescent="0.25">
      <c r="A10" s="4">
        <v>43678</v>
      </c>
      <c r="B10" s="5">
        <v>1852</v>
      </c>
      <c r="C10" s="5">
        <v>5693</v>
      </c>
      <c r="D10" s="5">
        <v>4144.8450000000003</v>
      </c>
      <c r="E10" s="5">
        <v>250931</v>
      </c>
      <c r="F10" s="5">
        <v>582.25169099999994</v>
      </c>
      <c r="G10" s="5">
        <v>744.84102300000006</v>
      </c>
      <c r="H10" s="6">
        <f t="shared" si="0"/>
        <v>78.171270515533877</v>
      </c>
      <c r="I10" s="6">
        <v>2095.62653</v>
      </c>
      <c r="J10" s="6">
        <v>0</v>
      </c>
      <c r="K10" s="6">
        <v>2095.62653</v>
      </c>
      <c r="L10" s="6">
        <v>43.668876819999994</v>
      </c>
      <c r="M10" s="6">
        <v>3.6149717699999999</v>
      </c>
      <c r="N10" s="6">
        <v>0</v>
      </c>
      <c r="O10" s="6">
        <v>47.283848589999991</v>
      </c>
      <c r="P10" s="6">
        <v>65.873306999999997</v>
      </c>
      <c r="Q10" s="6">
        <f t="shared" si="1"/>
        <v>71.779983036224365</v>
      </c>
    </row>
    <row r="11" spans="1:17" x14ac:dyDescent="0.25">
      <c r="A11" s="1">
        <v>43709</v>
      </c>
      <c r="B11" s="2">
        <v>1865</v>
      </c>
      <c r="C11" s="2">
        <v>5449</v>
      </c>
      <c r="D11" s="2">
        <v>4088.82</v>
      </c>
      <c r="E11" s="2">
        <v>250092</v>
      </c>
      <c r="F11" s="2">
        <v>562.972846</v>
      </c>
      <c r="G11" s="2">
        <v>737.25764599999991</v>
      </c>
      <c r="H11" s="3">
        <f t="shared" si="0"/>
        <v>76.360394368836438</v>
      </c>
      <c r="I11" s="3">
        <v>2191.93651</v>
      </c>
      <c r="J11" s="3">
        <v>0</v>
      </c>
      <c r="K11" s="3">
        <v>2191.94</v>
      </c>
      <c r="L11" s="3">
        <v>42.222963470000003</v>
      </c>
      <c r="M11" s="3">
        <v>3.9719913499999997</v>
      </c>
      <c r="N11" s="3">
        <v>0</v>
      </c>
      <c r="O11" s="3">
        <v>46.19495482</v>
      </c>
      <c r="P11" s="3">
        <v>65.033879999999996</v>
      </c>
      <c r="Q11" s="3">
        <f t="shared" si="1"/>
        <v>71.032137126064143</v>
      </c>
    </row>
    <row r="12" spans="1:17" x14ac:dyDescent="0.25">
      <c r="A12" s="4">
        <v>43739</v>
      </c>
      <c r="B12" s="5">
        <v>1928</v>
      </c>
      <c r="C12" s="5">
        <v>5891</v>
      </c>
      <c r="D12" s="5">
        <v>4259.72</v>
      </c>
      <c r="E12" s="5">
        <v>257488</v>
      </c>
      <c r="F12" s="5">
        <v>595.58992599999999</v>
      </c>
      <c r="G12" s="5">
        <v>771.84876499999996</v>
      </c>
      <c r="H12" s="6">
        <f t="shared" si="0"/>
        <v>77.164070606500218</v>
      </c>
      <c r="I12" s="6">
        <v>2890.95696</v>
      </c>
      <c r="J12" s="6">
        <v>0</v>
      </c>
      <c r="K12" s="6">
        <v>2890.95696</v>
      </c>
      <c r="L12" s="6">
        <v>44.669244450000001</v>
      </c>
      <c r="M12" s="6">
        <v>4.3381508799999997</v>
      </c>
      <c r="N12" s="6">
        <v>0</v>
      </c>
      <c r="O12" s="6">
        <v>49.007395330000001</v>
      </c>
      <c r="P12" s="6">
        <v>67.769795999999999</v>
      </c>
      <c r="Q12" s="6">
        <f t="shared" si="1"/>
        <v>72.314509150949789</v>
      </c>
    </row>
    <row r="13" spans="1:17" x14ac:dyDescent="0.25">
      <c r="A13" s="1">
        <v>43770</v>
      </c>
      <c r="B13" s="2">
        <v>1850</v>
      </c>
      <c r="C13" s="2">
        <v>5518</v>
      </c>
      <c r="D13" s="2">
        <v>4091.5920000000001</v>
      </c>
      <c r="E13" s="2">
        <v>272472</v>
      </c>
      <c r="F13" s="2">
        <v>629.19135199999994</v>
      </c>
      <c r="G13" s="2">
        <v>741.85965499999998</v>
      </c>
      <c r="H13" s="3">
        <f t="shared" si="0"/>
        <v>84.812720001601917</v>
      </c>
      <c r="I13" s="3">
        <v>2340.9859699999997</v>
      </c>
      <c r="J13" s="3">
        <v>0</v>
      </c>
      <c r="K13" s="3">
        <v>2340.9859699999997</v>
      </c>
      <c r="L13" s="3">
        <v>47.189351420000001</v>
      </c>
      <c r="M13" s="3">
        <v>3.4053454200000002</v>
      </c>
      <c r="N13" s="3">
        <v>0</v>
      </c>
      <c r="O13" s="3">
        <v>50.594696839999997</v>
      </c>
      <c r="P13" s="3">
        <v>65.098457999999994</v>
      </c>
      <c r="Q13" s="3">
        <f t="shared" si="1"/>
        <v>77.720269257376273</v>
      </c>
    </row>
    <row r="14" spans="1:17" x14ac:dyDescent="0.25">
      <c r="A14" s="4">
        <v>43800</v>
      </c>
      <c r="B14" s="5">
        <v>1879</v>
      </c>
      <c r="C14" s="5">
        <v>5849.5166666666664</v>
      </c>
      <c r="D14" s="5">
        <v>4166.8320000000003</v>
      </c>
      <c r="E14" s="5">
        <v>289242</v>
      </c>
      <c r="F14" s="5">
        <v>663.46615599999996</v>
      </c>
      <c r="G14" s="5">
        <v>756.40955200000008</v>
      </c>
      <c r="H14" s="6">
        <f t="shared" si="0"/>
        <v>87.712556543706881</v>
      </c>
      <c r="I14" s="6">
        <v>1993.2309800000003</v>
      </c>
      <c r="J14" s="6">
        <v>0</v>
      </c>
      <c r="K14" s="6">
        <v>1993.2309800000003</v>
      </c>
      <c r="L14" s="6">
        <v>49.759961730000001</v>
      </c>
      <c r="M14" s="6">
        <v>3.5160065700000001</v>
      </c>
      <c r="N14" s="6">
        <v>0</v>
      </c>
      <c r="O14" s="6">
        <v>53.275968300000002</v>
      </c>
      <c r="P14" s="6">
        <v>66.342262000000005</v>
      </c>
      <c r="Q14" s="6">
        <f t="shared" si="1"/>
        <v>80.304720842952264</v>
      </c>
    </row>
    <row r="15" spans="1:17" x14ac:dyDescent="0.25">
      <c r="A15" s="1">
        <v>43831</v>
      </c>
      <c r="B15" s="2">
        <v>1882</v>
      </c>
      <c r="C15" s="2">
        <v>5908.0666666666666</v>
      </c>
      <c r="D15" s="2">
        <v>4172.4380000000001</v>
      </c>
      <c r="E15" s="2">
        <v>276675</v>
      </c>
      <c r="F15" s="2">
        <v>634.67640300000005</v>
      </c>
      <c r="G15" s="2">
        <v>758.16040099999998</v>
      </c>
      <c r="H15" s="3">
        <f t="shared" si="0"/>
        <v>83.712681665103219</v>
      </c>
      <c r="I15" s="3">
        <v>2070.134399999999</v>
      </c>
      <c r="J15" s="3">
        <v>0</v>
      </c>
      <c r="K15" s="3">
        <v>2070.134399999999</v>
      </c>
      <c r="L15" s="3">
        <v>47.600730259999999</v>
      </c>
      <c r="M15" s="3">
        <v>3.6002941500000003</v>
      </c>
      <c r="N15" s="3">
        <v>0</v>
      </c>
      <c r="O15" s="3">
        <v>51.201024409999995</v>
      </c>
      <c r="P15" s="3">
        <v>66.412326000000007</v>
      </c>
      <c r="Q15" s="3">
        <f t="shared" si="1"/>
        <v>77.095665057718335</v>
      </c>
    </row>
    <row r="16" spans="1:17" x14ac:dyDescent="0.25">
      <c r="A16" s="4">
        <v>43862</v>
      </c>
      <c r="B16" s="5">
        <v>1650</v>
      </c>
      <c r="C16" s="5">
        <v>5117.45</v>
      </c>
      <c r="D16" s="5">
        <v>3663.703</v>
      </c>
      <c r="E16" s="5">
        <v>233449</v>
      </c>
      <c r="F16" s="5">
        <v>522.34317499999997</v>
      </c>
      <c r="G16" s="5">
        <v>677.17768500000011</v>
      </c>
      <c r="H16" s="6">
        <f t="shared" si="0"/>
        <v>77.135320104353383</v>
      </c>
      <c r="I16" s="6">
        <v>2202.6186800000005</v>
      </c>
      <c r="J16" s="6">
        <v>0</v>
      </c>
      <c r="K16" s="6">
        <v>2202.6186800000005</v>
      </c>
      <c r="L16" s="6">
        <v>39.175738129999999</v>
      </c>
      <c r="M16" s="6">
        <v>3.3493668799999998</v>
      </c>
      <c r="N16" s="6">
        <v>0</v>
      </c>
      <c r="O16" s="6">
        <v>42.525105009999997</v>
      </c>
      <c r="P16" s="6">
        <v>58.326898999999997</v>
      </c>
      <c r="Q16" s="6">
        <f t="shared" si="1"/>
        <v>72.908222002338917</v>
      </c>
    </row>
    <row r="17" spans="1:17" x14ac:dyDescent="0.25">
      <c r="A17" s="1">
        <v>43891</v>
      </c>
      <c r="B17" s="2">
        <v>863</v>
      </c>
      <c r="C17" s="2">
        <v>2431.7166666666667</v>
      </c>
      <c r="D17" s="2">
        <v>1729.8030000000001</v>
      </c>
      <c r="E17" s="2">
        <v>115048</v>
      </c>
      <c r="F17" s="2">
        <v>244.61209200000002</v>
      </c>
      <c r="G17" s="2">
        <v>324.00575099999998</v>
      </c>
      <c r="H17" s="3">
        <f t="shared" si="0"/>
        <v>75.496219201368447</v>
      </c>
      <c r="I17" s="3">
        <v>1764.8835800000002</v>
      </c>
      <c r="J17" s="3">
        <v>0</v>
      </c>
      <c r="K17" s="3">
        <v>1764.8835800000002</v>
      </c>
      <c r="L17" s="3">
        <v>18.34590687</v>
      </c>
      <c r="M17" s="3">
        <v>2.1901931000000001</v>
      </c>
      <c r="N17" s="3">
        <v>0</v>
      </c>
      <c r="O17" s="3">
        <v>20.536099969999999</v>
      </c>
      <c r="P17" s="3">
        <v>27.503363</v>
      </c>
      <c r="Q17" s="3">
        <f t="shared" si="1"/>
        <v>74.66759599544244</v>
      </c>
    </row>
    <row r="18" spans="1:17" x14ac:dyDescent="0.25">
      <c r="A18" s="7" t="s">
        <v>22</v>
      </c>
      <c r="B18" s="8">
        <f>SUM(B6:B17)</f>
        <v>19377</v>
      </c>
      <c r="C18" s="8">
        <f t="shared" ref="C18:P18" si="2">SUM(C6:C17)</f>
        <v>58897.749999999993</v>
      </c>
      <c r="D18" s="8">
        <f t="shared" si="2"/>
        <v>42344.908000000003</v>
      </c>
      <c r="E18" s="8">
        <f t="shared" si="2"/>
        <v>2793549</v>
      </c>
      <c r="F18" s="8">
        <f t="shared" si="2"/>
        <v>6373.5200620000014</v>
      </c>
      <c r="G18" s="8">
        <f t="shared" si="2"/>
        <v>7744.1065989999997</v>
      </c>
      <c r="H18" s="9">
        <f t="shared" si="0"/>
        <v>82.301553839961571</v>
      </c>
      <c r="I18" s="9">
        <f t="shared" si="2"/>
        <v>25230.279697554997</v>
      </c>
      <c r="J18" s="9">
        <f t="shared" si="2"/>
        <v>0</v>
      </c>
      <c r="K18" s="9">
        <f t="shared" si="2"/>
        <v>25230.283187555</v>
      </c>
      <c r="L18" s="9">
        <f t="shared" si="2"/>
        <v>478.01400807999994</v>
      </c>
      <c r="M18" s="9">
        <f t="shared" si="2"/>
        <v>36.497435100000004</v>
      </c>
      <c r="N18" s="9">
        <f t="shared" si="2"/>
        <v>0</v>
      </c>
      <c r="O18" s="9">
        <f t="shared" si="2"/>
        <v>514.5114431799999</v>
      </c>
      <c r="P18" s="9">
        <f t="shared" si="2"/>
        <v>673.45533</v>
      </c>
      <c r="Q18" s="9">
        <f t="shared" si="1"/>
        <v>76.398748403995839</v>
      </c>
    </row>
    <row r="19" spans="1:17" ht="15" customHeight="1" x14ac:dyDescent="0.25">
      <c r="A19" s="11" t="s">
        <v>21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</sheetData>
  <mergeCells count="13"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2020-06-11T11:37:12Z</cp:lastPrinted>
  <dcterms:created xsi:type="dcterms:W3CDTF">2018-10-29T04:00:09Z</dcterms:created>
  <dcterms:modified xsi:type="dcterms:W3CDTF">2021-09-15T01:07:59Z</dcterms:modified>
</cp:coreProperties>
</file>