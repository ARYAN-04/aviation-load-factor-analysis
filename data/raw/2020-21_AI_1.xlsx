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3. AIR INDIA\"/>
    </mc:Choice>
  </mc:AlternateContent>
  <bookViews>
    <workbookView xWindow="0" yWindow="0" windowWidth="24000" windowHeight="9435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2" l="1"/>
  <c r="O18" i="2" s="1"/>
  <c r="Q7" i="2" l="1"/>
  <c r="Q8" i="2"/>
  <c r="Q9" i="2"/>
  <c r="Q10" i="2"/>
  <c r="Q11" i="2"/>
  <c r="Q12" i="2"/>
  <c r="Q13" i="2"/>
  <c r="Q14" i="2"/>
  <c r="Q15" i="2"/>
  <c r="Q16" i="2"/>
  <c r="Q17" i="2"/>
  <c r="H7" i="2"/>
  <c r="H8" i="2"/>
  <c r="H9" i="2"/>
  <c r="H10" i="2"/>
  <c r="H11" i="2"/>
  <c r="H12" i="2"/>
  <c r="H13" i="2"/>
  <c r="H14" i="2"/>
  <c r="H15" i="2"/>
  <c r="H16" i="2"/>
  <c r="H17" i="2"/>
  <c r="P18" i="2" l="1"/>
  <c r="C18" i="2"/>
  <c r="B18" i="2"/>
  <c r="N18" i="2"/>
  <c r="M18" i="2"/>
  <c r="L18" i="2"/>
  <c r="K18" i="2"/>
  <c r="J18" i="2"/>
  <c r="I18" i="2"/>
  <c r="G18" i="2"/>
  <c r="F18" i="2"/>
  <c r="E18" i="2"/>
  <c r="D18" i="2"/>
  <c r="H18" i="2" l="1"/>
  <c r="Q18" i="2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<sst xmlns="http://schemas.openxmlformats.org/spreadsheetml/2006/main" count="26" uniqueCount="24">
  <si>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</si>
  <si>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</si>
  <si>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</si>
  <si>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</si>
  <si>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</si>
  <si>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</si>
  <si>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</si>
  <si>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</si>
  <si>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</si>
  <si>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</si>
  <si>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</si>
  <si>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</si>
  <si>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</si>
  <si>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</si>
  <si>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</si>
  <si>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</si>
  <si>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</si>
  <si>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</si>
  <si>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</si>
  <si>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</t>
  </si>
  <si>
    <t xml:space="preserve">तालिका 1.01 (एयर इंडिया) </t>
  </si>
  <si>
    <t>Table 1.01 (AIR INDIA)</t>
  </si>
  <si>
    <t>2020-21</t>
  </si>
  <si>
    <t>MONTHLY TRAFFIC AND OPERATING STATISTICS OF  AIR INDIA ON SCHEDULED DOMESTIC SERVICES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</si>
</sst>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1010409]m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0">
    <xf numFmtId="0" fontId="0" fillId="0" borderId="0" xfId="0"/>
    <xf numFmtId="0" fontId="0" fillId="0" borderId="0" xfId="0" applyFont="1"/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168" fontId="3" fillId="4" borderId="1" xfId="3" applyNumberFormat="1" applyFont="1" applyBorder="1" applyAlignment="1" applyProtection="1">
      <alignment horizontal="center" vertical="top" wrapText="1"/>
    </xf>
    <xf numFmtId="165" fontId="3" fillId="4" borderId="1" xfId="3" applyNumberFormat="1" applyBorder="1" applyAlignment="1">
      <alignment horizontal="right" vertical="top"/>
    </xf>
    <xf numFmtId="166" fontId="3" fillId="4" borderId="1" xfId="3" applyNumberFormat="1" applyBorder="1" applyAlignment="1">
      <alignment horizontal="right" vertical="top"/>
    </xf>
    <xf numFmtId="168" fontId="2" fillId="2" borderId="1" xfId="0" applyNumberFormat="1" applyFont="1" applyFill="1" applyBorder="1" applyAlignment="1" applyProtection="1">
      <alignment horizontal="center" vertical="top" wrapText="1"/>
    </xf>
    <xf numFmtId="165" fontId="0" fillId="0" borderId="1" xfId="1" applyNumberFormat="1" applyFont="1" applyBorder="1" applyAlignment="1">
      <alignment horizontal="right" vertical="top"/>
    </xf>
    <xf numFmtId="166" fontId="0" fillId="0" borderId="1" xfId="1" applyNumberFormat="1" applyFont="1" applyBorder="1" applyAlignment="1">
      <alignment horizontal="right" vertical="top"/>
    </xf>
    <xf numFmtId="0" fontId="4" fillId="4" borderId="1" xfId="3" applyFont="1" applyBorder="1" applyAlignment="1" applyProtection="1">
      <alignment horizontal="center" vertical="top" wrapText="1"/>
    </xf>
    <xf numFmtId="3" fontId="4" fillId="4" borderId="1" xfId="3" applyNumberFormat="1" applyFont="1" applyBorder="1" applyAlignment="1" applyProtection="1">
      <alignment horizontal="right" vertical="top" wrapText="1"/>
    </xf>
    <xf numFmtId="167" fontId="4" fillId="4" borderId="1" xfId="3" applyNumberFormat="1" applyFont="1" applyBorder="1" applyAlignment="1" applyProtection="1">
      <alignment horizontal="right" vertical="top" wrapText="1"/>
    </xf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topLeftCell="A2" zoomScale="60" zoomScaleNormal="118" workbookViewId="0">
      <selection activeCell="K12" sqref="K12"/>
    </sheetView>
  </sheetViews>
  <sheetFormatPr defaultColWidth="9.140625" defaultRowHeight="15" x14ac:dyDescent="0.25"/>
  <cols>
    <col min="1" max="1" width="13.85546875" style="1" customWidth="1"/>
    <col min="2" max="2" width="10.140625" style="1" customWidth="1"/>
    <col min="3" max="3" width="10" style="1" customWidth="1"/>
    <col min="4" max="4" width="9.85546875" style="1" customWidth="1"/>
    <col min="5" max="5" width="11" style="1" customWidth="1"/>
    <col min="6" max="6" width="8.42578125" style="1" customWidth="1"/>
    <col min="7" max="7" width="8.7109375" style="1" customWidth="1"/>
    <col min="8" max="8" width="7.28515625" style="1" customWidth="1"/>
    <col min="9" max="9" width="9.5703125" style="1" customWidth="1"/>
    <col min="10" max="10" width="8.7109375" style="1" customWidth="1"/>
    <col min="11" max="11" width="9.5703125" style="1" customWidth="1"/>
    <col min="12" max="12" width="11" style="1" customWidth="1"/>
    <col min="13" max="13" width="9.28515625" style="1" customWidth="1"/>
    <col min="14" max="14" width="8.5703125" style="1" customWidth="1"/>
    <col min="15" max="15" width="10.140625" style="1" customWidth="1"/>
    <col min="16" max="16" width="11" style="1" customWidth="1"/>
    <col min="17" max="17" width="8.7109375" style="1" customWidth="1"/>
    <col min="18" max="16384" width="9.140625" style="1"/>
  </cols>
  <sheetData>
    <row r="1" spans="1:17" ht="15" customHeight="1" x14ac:dyDescent="0.25">
      <c r="A1" s="6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5" customHeight="1" x14ac:dyDescent="0.25">
      <c r="A2" s="7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ht="15" customHeight="1" x14ac:dyDescent="0.25">
      <c r="A3" s="9" t="s">
        <v>23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ht="30" customHeight="1" x14ac:dyDescent="0.25">
      <c r="A4" s="9" t="s">
        <v>0</v>
      </c>
      <c r="B4" s="9" t="s">
        <v>1</v>
      </c>
      <c r="C4" s="9"/>
      <c r="D4" s="9"/>
      <c r="E4" s="9" t="s">
        <v>2</v>
      </c>
      <c r="F4" s="10"/>
      <c r="G4" s="3" t="s">
        <v>3</v>
      </c>
      <c r="H4" s="3" t="s">
        <v>4</v>
      </c>
      <c r="I4" s="9" t="s">
        <v>5</v>
      </c>
      <c r="J4" s="9"/>
      <c r="K4" s="9"/>
      <c r="L4" s="9" t="s">
        <v>6</v>
      </c>
      <c r="M4" s="9"/>
      <c r="N4" s="9"/>
      <c r="O4" s="9"/>
      <c r="P4" s="3" t="s">
        <v>7</v>
      </c>
      <c r="Q4" s="3" t="s">
        <v>8</v>
      </c>
    </row>
    <row r="5" spans="1:17" ht="115.5" customHeight="1" x14ac:dyDescent="0.25">
      <c r="A5" s="9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4"/>
      <c r="H5" s="4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4"/>
      <c r="Q5" s="4"/>
    </row>
    <row r="6" spans="1:17" x14ac:dyDescent="0.25">
      <c r="A6" s="11">
        <v>43922</v>
      </c>
      <c r="B6" s="12"/>
      <c r="C6" s="12"/>
      <c r="D6" s="12"/>
      <c r="E6" s="12"/>
      <c r="F6" s="12">
        <v>0</v>
      </c>
      <c r="G6" s="12">
        <v>0</v>
      </c>
      <c r="H6" s="13"/>
      <c r="I6" s="13"/>
      <c r="J6" s="13"/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/>
    </row>
    <row r="7" spans="1:17" x14ac:dyDescent="0.25">
      <c r="A7" s="14">
        <v>43952</v>
      </c>
      <c r="B7" s="15">
        <v>457</v>
      </c>
      <c r="C7" s="15">
        <v>832</v>
      </c>
      <c r="D7" s="15">
        <v>482</v>
      </c>
      <c r="E7" s="15">
        <v>41595</v>
      </c>
      <c r="F7" s="15">
        <v>39.002037999999999</v>
      </c>
      <c r="G7" s="15">
        <v>77.787999999999997</v>
      </c>
      <c r="H7" s="16">
        <f t="shared" ref="H7:H18" si="0">F7/G7*100</f>
        <v>50.138887746181929</v>
      </c>
      <c r="I7" s="16">
        <v>199.90440000000001</v>
      </c>
      <c r="J7" s="16">
        <v>12.214000000000004</v>
      </c>
      <c r="K7" s="16">
        <v>212.11840000000001</v>
      </c>
      <c r="L7" s="16">
        <v>3.5424720000000001</v>
      </c>
      <c r="M7" s="16">
        <v>0.23813999999999999</v>
      </c>
      <c r="N7" s="16">
        <v>8.4</v>
      </c>
      <c r="O7" s="16">
        <f>L7+M7+N7</f>
        <v>12.180612</v>
      </c>
      <c r="P7" s="16">
        <v>9.1050000000000004</v>
      </c>
      <c r="Q7" s="16">
        <f t="shared" ref="Q7:Q18" si="1">O7/P7*100</f>
        <v>133.77937397034597</v>
      </c>
    </row>
    <row r="8" spans="1:17" x14ac:dyDescent="0.25">
      <c r="A8" s="11">
        <v>43983</v>
      </c>
      <c r="B8" s="12">
        <v>2211</v>
      </c>
      <c r="C8" s="12">
        <v>4151</v>
      </c>
      <c r="D8" s="12">
        <v>2425</v>
      </c>
      <c r="E8" s="12">
        <v>197747</v>
      </c>
      <c r="F8" s="12">
        <v>184.47300000000001</v>
      </c>
      <c r="G8" s="12">
        <v>354.20400000000001</v>
      </c>
      <c r="H8" s="13">
        <f t="shared" si="0"/>
        <v>52.08100416709015</v>
      </c>
      <c r="I8" s="13">
        <v>2050.8433</v>
      </c>
      <c r="J8" s="13"/>
      <c r="K8" s="13">
        <v>2050.8433</v>
      </c>
      <c r="L8" s="13">
        <v>16.8401</v>
      </c>
      <c r="M8" s="13">
        <v>2.4674399999999999</v>
      </c>
      <c r="N8" s="13">
        <v>0</v>
      </c>
      <c r="O8" s="13">
        <v>19.307539999999996</v>
      </c>
      <c r="P8" s="13">
        <v>37.112000000000002</v>
      </c>
      <c r="Q8" s="13">
        <f t="shared" si="1"/>
        <v>52.025059280017224</v>
      </c>
    </row>
    <row r="9" spans="1:17" x14ac:dyDescent="0.25">
      <c r="A9" s="14">
        <v>44013</v>
      </c>
      <c r="B9" s="15">
        <v>2260</v>
      </c>
      <c r="C9" s="15">
        <v>4147.1666666666679</v>
      </c>
      <c r="D9" s="15">
        <v>2995.6529999999998</v>
      </c>
      <c r="E9" s="15">
        <v>142583</v>
      </c>
      <c r="F9" s="15">
        <v>142.50647599999999</v>
      </c>
      <c r="G9" s="15">
        <v>346.48837800000001</v>
      </c>
      <c r="H9" s="16">
        <f t="shared" si="0"/>
        <v>41.128789606905656</v>
      </c>
      <c r="I9" s="16">
        <v>1937.3362999999995</v>
      </c>
      <c r="J9" s="16"/>
      <c r="K9" s="16">
        <v>1937.3362999999995</v>
      </c>
      <c r="L9" s="16">
        <v>13.022575508000012</v>
      </c>
      <c r="M9" s="16">
        <v>2.3480259098000014</v>
      </c>
      <c r="N9" s="16">
        <v>0</v>
      </c>
      <c r="O9" s="16">
        <v>15.370601417800012</v>
      </c>
      <c r="P9" s="16">
        <v>36.508463860000056</v>
      </c>
      <c r="Q9" s="16">
        <f t="shared" si="1"/>
        <v>42.101473994474411</v>
      </c>
    </row>
    <row r="10" spans="1:17" x14ac:dyDescent="0.25">
      <c r="A10" s="11">
        <v>44044</v>
      </c>
      <c r="B10" s="12">
        <v>2589</v>
      </c>
      <c r="C10" s="12">
        <v>4926.8833333333314</v>
      </c>
      <c r="D10" s="12">
        <v>3533.723</v>
      </c>
      <c r="E10" s="12">
        <v>224999</v>
      </c>
      <c r="F10" s="12">
        <v>251.564875</v>
      </c>
      <c r="G10" s="12">
        <v>421.68664000000001</v>
      </c>
      <c r="H10" s="13">
        <f t="shared" si="0"/>
        <v>59.656828350075308</v>
      </c>
      <c r="I10" s="13">
        <v>2378.4913999999999</v>
      </c>
      <c r="J10" s="13"/>
      <c r="K10" s="13">
        <v>2378.4913999999999</v>
      </c>
      <c r="L10" s="13">
        <v>22.996838574999998</v>
      </c>
      <c r="M10" s="13">
        <v>3.0548466569999961</v>
      </c>
      <c r="N10" s="13">
        <v>0</v>
      </c>
      <c r="O10" s="13">
        <v>26.051685231999993</v>
      </c>
      <c r="P10" s="13">
        <v>44.546055260000031</v>
      </c>
      <c r="Q10" s="13">
        <f t="shared" si="1"/>
        <v>58.482586347871326</v>
      </c>
    </row>
    <row r="11" spans="1:17" x14ac:dyDescent="0.25">
      <c r="A11" s="14">
        <v>44075</v>
      </c>
      <c r="B11" s="15">
        <v>3519</v>
      </c>
      <c r="C11" s="15">
        <v>6869.0666666666657</v>
      </c>
      <c r="D11" s="15">
        <v>4840.0429999999997</v>
      </c>
      <c r="E11" s="15">
        <v>318320</v>
      </c>
      <c r="F11" s="15">
        <v>358.67563799999999</v>
      </c>
      <c r="G11" s="15">
        <v>617.83567400000004</v>
      </c>
      <c r="H11" s="16">
        <f t="shared" si="0"/>
        <v>58.053565550505901</v>
      </c>
      <c r="I11" s="16">
        <v>3466.6860999999994</v>
      </c>
      <c r="J11" s="16"/>
      <c r="K11" s="16">
        <v>3466.6860999999994</v>
      </c>
      <c r="L11" s="16">
        <v>32.788118072999964</v>
      </c>
      <c r="M11" s="16">
        <v>4.5574434052000035</v>
      </c>
      <c r="N11" s="16">
        <v>0</v>
      </c>
      <c r="O11" s="16">
        <v>37.345561478199961</v>
      </c>
      <c r="P11" s="16">
        <v>66.265316279999993</v>
      </c>
      <c r="Q11" s="16">
        <f t="shared" si="1"/>
        <v>56.357629563554191</v>
      </c>
    </row>
    <row r="12" spans="1:17" x14ac:dyDescent="0.25">
      <c r="A12" s="11">
        <v>44105</v>
      </c>
      <c r="B12" s="12">
        <v>4518</v>
      </c>
      <c r="C12" s="12">
        <v>8688.6666666666679</v>
      </c>
      <c r="D12" s="12">
        <v>6060.1880000000001</v>
      </c>
      <c r="E12" s="12">
        <v>426369</v>
      </c>
      <c r="F12" s="12">
        <v>471.20885100000004</v>
      </c>
      <c r="G12" s="12">
        <v>756.54135499999995</v>
      </c>
      <c r="H12" s="13">
        <f t="shared" si="0"/>
        <v>62.284612451886403</v>
      </c>
      <c r="I12" s="13">
        <v>3990.3084000000013</v>
      </c>
      <c r="J12" s="13"/>
      <c r="K12" s="13">
        <v>3990.3084000000013</v>
      </c>
      <c r="L12" s="13">
        <v>43.075004229999976</v>
      </c>
      <c r="M12" s="13">
        <v>5.2514155340999986</v>
      </c>
      <c r="N12" s="13">
        <v>0</v>
      </c>
      <c r="O12" s="13">
        <v>48.326419764099974</v>
      </c>
      <c r="P12" s="13">
        <v>80.351413495999978</v>
      </c>
      <c r="Q12" s="13">
        <f t="shared" si="1"/>
        <v>60.143832773403219</v>
      </c>
    </row>
    <row r="13" spans="1:17" x14ac:dyDescent="0.25">
      <c r="A13" s="14">
        <v>44136</v>
      </c>
      <c r="B13" s="15">
        <v>5081</v>
      </c>
      <c r="C13" s="15">
        <v>9988.2999999999993</v>
      </c>
      <c r="D13" s="15">
        <v>6311.3590000000004</v>
      </c>
      <c r="E13" s="15">
        <v>558588</v>
      </c>
      <c r="F13" s="15">
        <v>613.97245099999998</v>
      </c>
      <c r="G13" s="15">
        <v>880.14218200000005</v>
      </c>
      <c r="H13" s="16">
        <f t="shared" si="0"/>
        <v>69.75832582013436</v>
      </c>
      <c r="I13" s="16">
        <v>3795.3530000000001</v>
      </c>
      <c r="J13" s="16"/>
      <c r="K13" s="16">
        <v>3795.3530000000001</v>
      </c>
      <c r="L13" s="16">
        <v>57.574961000000002</v>
      </c>
      <c r="M13" s="16">
        <v>4.9563629397999973</v>
      </c>
      <c r="N13" s="16">
        <v>0</v>
      </c>
      <c r="O13" s="16">
        <v>62.531323939800004</v>
      </c>
      <c r="P13" s="16">
        <v>93.120949720000084</v>
      </c>
      <c r="Q13" s="16">
        <f t="shared" si="1"/>
        <v>67.150650984361491</v>
      </c>
    </row>
    <row r="14" spans="1:17" x14ac:dyDescent="0.25">
      <c r="A14" s="11">
        <v>44166</v>
      </c>
      <c r="B14" s="12">
        <v>5857</v>
      </c>
      <c r="C14" s="12">
        <v>11809.466666666665</v>
      </c>
      <c r="D14" s="12">
        <v>7037.8419999999996</v>
      </c>
      <c r="E14" s="12">
        <v>627009</v>
      </c>
      <c r="F14" s="12">
        <v>686.26761600000009</v>
      </c>
      <c r="G14" s="12">
        <v>1035.020571</v>
      </c>
      <c r="H14" s="13">
        <f t="shared" si="0"/>
        <v>66.304732024500041</v>
      </c>
      <c r="I14" s="13">
        <v>4102.8090999999995</v>
      </c>
      <c r="J14" s="13"/>
      <c r="K14" s="13">
        <v>4102.8090999999995</v>
      </c>
      <c r="L14" s="13">
        <v>64.765045999999998</v>
      </c>
      <c r="M14" s="13">
        <v>5.4078108423000062</v>
      </c>
      <c r="N14" s="13">
        <v>0</v>
      </c>
      <c r="O14" s="13">
        <v>70.172856842300007</v>
      </c>
      <c r="P14" s="13">
        <v>110.47135226399992</v>
      </c>
      <c r="Q14" s="13">
        <f t="shared" si="1"/>
        <v>63.521316073513603</v>
      </c>
    </row>
    <row r="15" spans="1:17" x14ac:dyDescent="0.25">
      <c r="A15" s="14">
        <v>44197</v>
      </c>
      <c r="B15" s="15">
        <v>6365</v>
      </c>
      <c r="C15" s="15">
        <v>12779.166666666673</v>
      </c>
      <c r="D15" s="15">
        <v>7603.38</v>
      </c>
      <c r="E15" s="15">
        <v>672139</v>
      </c>
      <c r="F15" s="15">
        <v>729.22020299999997</v>
      </c>
      <c r="G15" s="15">
        <v>1111.072948</v>
      </c>
      <c r="H15" s="16">
        <f t="shared" si="0"/>
        <v>65.632072521668476</v>
      </c>
      <c r="I15" s="16">
        <v>4039.1917000000008</v>
      </c>
      <c r="J15" s="16"/>
      <c r="K15" s="16">
        <v>4039.1917000000008</v>
      </c>
      <c r="L15" s="16">
        <v>68.434967999999998</v>
      </c>
      <c r="M15" s="16">
        <v>5.240458152799996</v>
      </c>
      <c r="N15" s="16">
        <v>0</v>
      </c>
      <c r="O15" s="16">
        <v>73.675426152799986</v>
      </c>
      <c r="P15" s="16">
        <v>119.09654744000002</v>
      </c>
      <c r="Q15" s="16">
        <f t="shared" si="1"/>
        <v>61.861932807008642</v>
      </c>
    </row>
    <row r="16" spans="1:17" x14ac:dyDescent="0.25">
      <c r="A16" s="11">
        <v>44228</v>
      </c>
      <c r="B16" s="12">
        <v>6285</v>
      </c>
      <c r="C16" s="12">
        <v>12700.333333333325</v>
      </c>
      <c r="D16" s="12">
        <v>7426.4319999999998</v>
      </c>
      <c r="E16" s="12">
        <v>786746</v>
      </c>
      <c r="F16" s="12">
        <v>849.66605500000003</v>
      </c>
      <c r="G16" s="12">
        <v>1085.9163659999999</v>
      </c>
      <c r="H16" s="13">
        <f t="shared" si="0"/>
        <v>78.244152275719557</v>
      </c>
      <c r="I16" s="13">
        <v>4382.3653999999997</v>
      </c>
      <c r="J16" s="13"/>
      <c r="K16" s="13">
        <v>4382.3653999999997</v>
      </c>
      <c r="L16" s="13">
        <v>79.530394000000001</v>
      </c>
      <c r="M16" s="13">
        <v>5.7623865698999976</v>
      </c>
      <c r="N16" s="13">
        <v>0</v>
      </c>
      <c r="O16" s="13">
        <v>85.292780569900003</v>
      </c>
      <c r="P16" s="13">
        <v>116.35816318000003</v>
      </c>
      <c r="Q16" s="13">
        <f t="shared" si="1"/>
        <v>73.301931071184498</v>
      </c>
    </row>
    <row r="17" spans="1:17" x14ac:dyDescent="0.25">
      <c r="A17" s="14">
        <v>44256</v>
      </c>
      <c r="B17" s="15">
        <v>7102</v>
      </c>
      <c r="C17" s="15">
        <v>14076.63333333333</v>
      </c>
      <c r="D17" s="15">
        <v>8371.0570000000007</v>
      </c>
      <c r="E17" s="15">
        <v>785520</v>
      </c>
      <c r="F17" s="15">
        <v>850.17113399999994</v>
      </c>
      <c r="G17" s="15">
        <v>1203.236619</v>
      </c>
      <c r="H17" s="16">
        <f t="shared" si="0"/>
        <v>70.657019623170228</v>
      </c>
      <c r="I17" s="16">
        <v>5270.0587999999998</v>
      </c>
      <c r="J17" s="16"/>
      <c r="K17" s="16">
        <v>5270.0587999999998</v>
      </c>
      <c r="L17" s="16">
        <v>79.670468</v>
      </c>
      <c r="M17" s="16">
        <v>7.0040564439000033</v>
      </c>
      <c r="N17" s="16">
        <v>0</v>
      </c>
      <c r="O17" s="16">
        <v>86.674524443899998</v>
      </c>
      <c r="P17" s="16">
        <v>128.13175841999998</v>
      </c>
      <c r="Q17" s="16">
        <f t="shared" si="1"/>
        <v>67.644841148430729</v>
      </c>
    </row>
    <row r="18" spans="1:17" ht="26.25" customHeight="1" x14ac:dyDescent="0.25">
      <c r="A18" s="17" t="s">
        <v>22</v>
      </c>
      <c r="B18" s="18">
        <f>SUM(B6:B17)</f>
        <v>46244</v>
      </c>
      <c r="C18" s="18">
        <f t="shared" ref="C18:G18" si="2">SUM(C6:C17)</f>
        <v>90968.68333333332</v>
      </c>
      <c r="D18" s="18">
        <f t="shared" si="2"/>
        <v>57086.676999999996</v>
      </c>
      <c r="E18" s="18">
        <f t="shared" si="2"/>
        <v>4781615</v>
      </c>
      <c r="F18" s="18">
        <f t="shared" si="2"/>
        <v>5176.7283370000005</v>
      </c>
      <c r="G18" s="18">
        <f t="shared" si="2"/>
        <v>7889.9327330000006</v>
      </c>
      <c r="H18" s="19">
        <f t="shared" si="0"/>
        <v>65.61181840433315</v>
      </c>
      <c r="I18" s="19">
        <f t="shared" ref="I18:P18" si="3">SUM(I6:I17)</f>
        <v>35613.347900000001</v>
      </c>
      <c r="J18" s="19">
        <f t="shared" si="3"/>
        <v>12.214000000000004</v>
      </c>
      <c r="K18" s="19">
        <f t="shared" si="3"/>
        <v>35625.561900000001</v>
      </c>
      <c r="L18" s="19">
        <f t="shared" si="3"/>
        <v>482.24094538600002</v>
      </c>
      <c r="M18" s="19">
        <f t="shared" si="3"/>
        <v>46.288386454799998</v>
      </c>
      <c r="N18" s="19">
        <f t="shared" si="3"/>
        <v>8.4</v>
      </c>
      <c r="O18" s="19">
        <f>SUM(O6:O17)</f>
        <v>536.92933184079993</v>
      </c>
      <c r="P18" s="19">
        <f t="shared" si="3"/>
        <v>841.06701992000012</v>
      </c>
      <c r="Q18" s="19">
        <f t="shared" si="1"/>
        <v>63.839066224695287</v>
      </c>
    </row>
    <row r="19" spans="1:17" ht="15" customHeight="1" x14ac:dyDescent="0.25">
      <c r="A19" s="5" t="s">
        <v>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2020-06-09T07:48:29Z</cp:lastPrinted>
  <dcterms:created xsi:type="dcterms:W3CDTF">2018-10-29T04:00:07Z</dcterms:created>
  <dcterms:modified xsi:type="dcterms:W3CDTF">2022-04-25T11:44:17Z</dcterms:modified>
</cp:coreProperties>
</file>