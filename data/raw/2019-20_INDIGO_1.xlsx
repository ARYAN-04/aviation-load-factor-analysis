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2. INDIGO\"/>
    </mc:Choice>
  </mc:AlternateContent>
  <bookViews>
    <workbookView xWindow="0" yWindow="0" windowWidth="24000" windowHeight="9435"/>
  </bookViews>
  <sheets>
    <sheet name="INDIGO" sheetId="10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0" l="1"/>
  <c r="Q8" i="10"/>
  <c r="Q9" i="10"/>
  <c r="Q10" i="10"/>
  <c r="Q11" i="10"/>
  <c r="Q12" i="10"/>
  <c r="Q13" i="10"/>
  <c r="Q14" i="10"/>
  <c r="Q15" i="10"/>
  <c r="Q16" i="10"/>
  <c r="Q17" i="10"/>
  <c r="Q6" i="10"/>
  <c r="H7" i="10"/>
  <c r="H8" i="10"/>
  <c r="H9" i="10"/>
  <c r="H10" i="10"/>
  <c r="H11" i="10"/>
  <c r="H12" i="10"/>
  <c r="H13" i="10"/>
  <c r="H14" i="10"/>
  <c r="H15" i="10"/>
  <c r="H16" i="10"/>
  <c r="H17" i="10"/>
  <c r="H6" i="10"/>
  <c r="I18" i="10" l="1"/>
  <c r="B18" i="10"/>
  <c r="P18" i="10"/>
  <c r="O18" i="10"/>
  <c r="Q18" i="10" s="1"/>
  <c r="N18" i="10"/>
  <c r="M18" i="10"/>
  <c r="L18" i="10"/>
  <c r="K18" i="10"/>
  <c r="J18" i="10"/>
  <c r="G18" i="10"/>
  <c r="F18" i="10"/>
  <c r="E18" i="10"/>
  <c r="D18" i="10"/>
  <c r="C18" i="10"/>
  <c r="H18" i="10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<sst xmlns="http://schemas.openxmlformats.org/spreadsheetml/2006/main" count="26" uniqueCount="24">
  <si>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</si>
  <si>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</si>
  <si>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</si>
  <si>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</si>
  <si>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</si>
  <si>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</si>
  <si>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</si>
  <si>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</si>
  <si>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</si>
  <si>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</si>
  <si>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</si>
  <si>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</si>
  <si>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</si>
  <si>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</si>
  <si>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</si>
  <si>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</si>
  <si>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</si>
  <si>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</si>
  <si>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</si>
  <si>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(इंडिगो) </t>
  </si>
  <si>
    <t>Table 1.01 (INDIGO)</t>
  </si>
  <si>
    <t>SOURCE:-  ICAO ATR FORM 'A' FURNISHED BY INDIGO</t>
  </si>
  <si>
    <t>2019-20</t>
  </si>
  <si>
    <t>MONTHLY TRAFFIC AND OPERATING STATISTICS OF INDIGO ON SCHEDULED DOMESTIC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</si>
</sst>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A4" zoomScaleNormal="100" workbookViewId="0">
      <selection activeCell="V5" sqref="V5"/>
    </sheetView>
  </sheetViews>
  <sheetFormatPr defaultRowHeight="15" x14ac:dyDescent="0.25"/>
  <cols>
    <col min="1" max="1" width="7.42578125" customWidth="1"/>
    <col min="2" max="3" width="8.140625" customWidth="1"/>
    <col min="4" max="4" width="8.28515625" customWidth="1"/>
    <col min="5" max="5" width="10.7109375" customWidth="1"/>
    <col min="6" max="7" width="7.42578125" customWidth="1"/>
    <col min="8" max="8" width="5.7109375" customWidth="1"/>
    <col min="9" max="9" width="9.85546875" customWidth="1"/>
    <col min="10" max="10" width="8.85546875" customWidth="1"/>
    <col min="11" max="11" width="9.85546875" customWidth="1"/>
    <col min="12" max="12" width="6.85546875" customWidth="1"/>
    <col min="13" max="13" width="5.85546875" customWidth="1"/>
    <col min="14" max="14" width="5.42578125" customWidth="1"/>
    <col min="15" max="15" width="7.140625" customWidth="1"/>
    <col min="16" max="16" width="7" customWidth="1"/>
    <col min="17" max="17" width="6.42578125" customWidth="1"/>
  </cols>
  <sheetData>
    <row r="1" spans="1:17" x14ac:dyDescent="0.25">
      <c r="A1" s="16" t="s">
        <v>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7" t="s">
        <v>20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19" t="s">
        <v>23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33.6" customHeight="1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11" t="s">
        <v>3</v>
      </c>
      <c r="H4" s="11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11" t="s">
        <v>7</v>
      </c>
      <c r="Q4" s="11" t="s">
        <v>8</v>
      </c>
    </row>
    <row r="5" spans="1:17" ht="120.75" customHeight="1" x14ac:dyDescent="0.25">
      <c r="A5" s="19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2"/>
      <c r="H5" s="12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2"/>
      <c r="Q5" s="12"/>
    </row>
    <row r="6" spans="1:17" x14ac:dyDescent="0.25">
      <c r="A6" s="8">
        <v>43556</v>
      </c>
      <c r="B6" s="2">
        <v>37911</v>
      </c>
      <c r="C6" s="2">
        <v>66485.2</v>
      </c>
      <c r="D6" s="2">
        <v>34806.678</v>
      </c>
      <c r="E6" s="2">
        <v>5481088</v>
      </c>
      <c r="F6" s="2">
        <v>5399.4129999999996</v>
      </c>
      <c r="G6" s="2">
        <v>6151.6970000000001</v>
      </c>
      <c r="H6" s="5">
        <f>F6/G6*100</f>
        <v>87.771114214500471</v>
      </c>
      <c r="I6" s="5">
        <v>18918.89</v>
      </c>
      <c r="J6" s="5">
        <v>1557.5129999999999</v>
      </c>
      <c r="K6" s="5">
        <v>20476.399999999998</v>
      </c>
      <c r="L6" s="5">
        <v>485.94845000000004</v>
      </c>
      <c r="M6" s="5">
        <v>21.699270000000002</v>
      </c>
      <c r="N6" s="5">
        <v>1.55213</v>
      </c>
      <c r="O6" s="5">
        <v>509.19985000000003</v>
      </c>
      <c r="P6" s="5">
        <v>675.40449999999998</v>
      </c>
      <c r="Q6" s="5">
        <f>O6/P6*100</f>
        <v>75.391835559283365</v>
      </c>
    </row>
    <row r="7" spans="1:17" x14ac:dyDescent="0.25">
      <c r="A7" s="9">
        <v>43586</v>
      </c>
      <c r="B7" s="3">
        <v>39934</v>
      </c>
      <c r="C7" s="3">
        <v>70246</v>
      </c>
      <c r="D7" s="3">
        <v>36494.462</v>
      </c>
      <c r="E7" s="3">
        <v>5979551</v>
      </c>
      <c r="F7" s="3">
        <v>5871.4380000000001</v>
      </c>
      <c r="G7" s="3">
        <v>6458.5450000000001</v>
      </c>
      <c r="H7" s="6">
        <f t="shared" ref="H7:H18" si="0">F7/G7*100</f>
        <v>90.909608897979339</v>
      </c>
      <c r="I7" s="6">
        <v>20557.945000000003</v>
      </c>
      <c r="J7" s="6">
        <v>1610.2680000000007</v>
      </c>
      <c r="K7" s="6">
        <v>22168.213000000003</v>
      </c>
      <c r="L7" s="6">
        <v>528.42800439000121</v>
      </c>
      <c r="M7" s="6">
        <v>24.167358018000012</v>
      </c>
      <c r="N7" s="6">
        <v>1.6101801439999999</v>
      </c>
      <c r="O7" s="6">
        <v>554.20554255200125</v>
      </c>
      <c r="P7" s="6">
        <v>709.45378095200238</v>
      </c>
      <c r="Q7" s="6">
        <f t="shared" ref="Q7:Q18" si="1">O7/P7*100</f>
        <v>78.117216009240735</v>
      </c>
    </row>
    <row r="8" spans="1:17" x14ac:dyDescent="0.25">
      <c r="A8" s="8">
        <v>43617</v>
      </c>
      <c r="B8" s="2">
        <v>38698</v>
      </c>
      <c r="C8" s="2">
        <v>68381</v>
      </c>
      <c r="D8" s="2">
        <v>35379.322999999997</v>
      </c>
      <c r="E8" s="2">
        <v>5778376</v>
      </c>
      <c r="F8" s="2">
        <v>5658.6840000000002</v>
      </c>
      <c r="G8" s="2">
        <v>6281.02</v>
      </c>
      <c r="H8" s="5">
        <f t="shared" si="0"/>
        <v>90.091800376371992</v>
      </c>
      <c r="I8" s="5">
        <v>19024.562999999998</v>
      </c>
      <c r="J8" s="5">
        <v>1548.5519999999997</v>
      </c>
      <c r="K8" s="5">
        <v>20573.114999999998</v>
      </c>
      <c r="L8" s="5">
        <v>509.28145451999899</v>
      </c>
      <c r="M8" s="5">
        <v>22.637987195000001</v>
      </c>
      <c r="N8" s="5">
        <v>1.5537223019999999</v>
      </c>
      <c r="O8" s="5">
        <v>533.47316401699902</v>
      </c>
      <c r="P8" s="5">
        <v>690.01121522799792</v>
      </c>
      <c r="Q8" s="5">
        <f t="shared" si="1"/>
        <v>77.313694653604344</v>
      </c>
    </row>
    <row r="9" spans="1:17" x14ac:dyDescent="0.25">
      <c r="A9" s="9">
        <v>43647</v>
      </c>
      <c r="B9" s="3">
        <v>39883</v>
      </c>
      <c r="C9" s="3">
        <v>70628.55</v>
      </c>
      <c r="D9" s="3">
        <v>35699.038</v>
      </c>
      <c r="E9" s="3">
        <v>5693448</v>
      </c>
      <c r="F9" s="3">
        <v>5430.4269999999997</v>
      </c>
      <c r="G9" s="3">
        <v>6302.625</v>
      </c>
      <c r="H9" s="6">
        <f t="shared" si="0"/>
        <v>86.1613534043355</v>
      </c>
      <c r="I9" s="6">
        <v>20019.987999999994</v>
      </c>
      <c r="J9" s="6">
        <v>1730.2359999999992</v>
      </c>
      <c r="K9" s="6">
        <v>21750.223999999995</v>
      </c>
      <c r="L9" s="6">
        <v>488.73739580999904</v>
      </c>
      <c r="M9" s="6">
        <v>23.756303917</v>
      </c>
      <c r="N9" s="6">
        <v>1.79654753</v>
      </c>
      <c r="O9" s="6">
        <v>514.29024725699901</v>
      </c>
      <c r="P9" s="6">
        <v>692.65146445100106</v>
      </c>
      <c r="Q9" s="6">
        <f t="shared" si="1"/>
        <v>74.249499734275162</v>
      </c>
    </row>
    <row r="10" spans="1:17" x14ac:dyDescent="0.25">
      <c r="A10" s="8">
        <v>43678</v>
      </c>
      <c r="B10" s="2">
        <v>39636</v>
      </c>
      <c r="C10" s="2">
        <v>70725.233333333337</v>
      </c>
      <c r="D10" s="2">
        <v>35578.923999999999</v>
      </c>
      <c r="E10" s="2">
        <v>5540693</v>
      </c>
      <c r="F10" s="2">
        <v>5278.0119999999997</v>
      </c>
      <c r="G10" s="2">
        <v>6259.585</v>
      </c>
      <c r="H10" s="5">
        <f t="shared" si="0"/>
        <v>84.318880564765877</v>
      </c>
      <c r="I10" s="5">
        <v>20637.445</v>
      </c>
      <c r="J10" s="5">
        <v>1499.9330000000007</v>
      </c>
      <c r="K10" s="5">
        <v>22137.378000000001</v>
      </c>
      <c r="L10" s="5">
        <v>475.01931978000005</v>
      </c>
      <c r="M10" s="5">
        <v>24.256228040000003</v>
      </c>
      <c r="N10" s="5">
        <v>1.5158337260000001</v>
      </c>
      <c r="O10" s="5">
        <v>500.79138154600003</v>
      </c>
      <c r="P10" s="5">
        <v>702.15603858700001</v>
      </c>
      <c r="Q10" s="5">
        <f t="shared" si="1"/>
        <v>71.32195039635053</v>
      </c>
    </row>
    <row r="11" spans="1:17" x14ac:dyDescent="0.25">
      <c r="A11" s="9">
        <v>43709</v>
      </c>
      <c r="B11" s="3">
        <v>39058</v>
      </c>
      <c r="C11" s="3">
        <v>68815.41</v>
      </c>
      <c r="D11" s="3">
        <v>34774.165000000001</v>
      </c>
      <c r="E11" s="3">
        <v>5559031</v>
      </c>
      <c r="F11" s="3">
        <v>5287.0029999999997</v>
      </c>
      <c r="G11" s="3">
        <v>6115.2569999999996</v>
      </c>
      <c r="H11" s="6">
        <f t="shared" si="0"/>
        <v>86.455941262975543</v>
      </c>
      <c r="I11" s="6">
        <v>21670.797999999999</v>
      </c>
      <c r="J11" s="6">
        <v>1291.8549999999998</v>
      </c>
      <c r="K11" s="6">
        <v>22962.652999999998</v>
      </c>
      <c r="L11" s="6">
        <v>475.83088776</v>
      </c>
      <c r="M11" s="6">
        <v>25.800958974</v>
      </c>
      <c r="N11" s="6">
        <v>1.2817629300000002</v>
      </c>
      <c r="O11" s="6">
        <v>502.91360966400003</v>
      </c>
      <c r="P11" s="6">
        <v>673.215401192998</v>
      </c>
      <c r="Q11" s="6">
        <f t="shared" si="1"/>
        <v>74.703224075502732</v>
      </c>
    </row>
    <row r="12" spans="1:17" x14ac:dyDescent="0.25">
      <c r="A12" s="8">
        <v>43739</v>
      </c>
      <c r="B12" s="2">
        <v>41763</v>
      </c>
      <c r="C12" s="2">
        <v>74078.5</v>
      </c>
      <c r="D12" s="2">
        <v>37380.275000000001</v>
      </c>
      <c r="E12" s="2">
        <v>5842318</v>
      </c>
      <c r="F12" s="2">
        <v>5611.9520000000002</v>
      </c>
      <c r="G12" s="2">
        <v>6592.7449999999999</v>
      </c>
      <c r="H12" s="5">
        <f t="shared" si="0"/>
        <v>85.123146731748307</v>
      </c>
      <c r="I12" s="5">
        <v>22166.379000000001</v>
      </c>
      <c r="J12" s="5">
        <v>1302.9739999999999</v>
      </c>
      <c r="K12" s="5">
        <v>23469.352999999999</v>
      </c>
      <c r="L12" s="5">
        <v>504.98679473999999</v>
      </c>
      <c r="M12" s="5">
        <v>26.094148002999901</v>
      </c>
      <c r="N12" s="5">
        <v>1.283767562</v>
      </c>
      <c r="O12" s="5">
        <v>532.36471030499979</v>
      </c>
      <c r="P12" s="5">
        <v>742.72295526600203</v>
      </c>
      <c r="Q12" s="5">
        <f t="shared" si="1"/>
        <v>71.677427839070404</v>
      </c>
    </row>
    <row r="13" spans="1:17" x14ac:dyDescent="0.25">
      <c r="A13" s="9">
        <v>43770</v>
      </c>
      <c r="B13" s="3">
        <v>40949</v>
      </c>
      <c r="C13" s="3">
        <v>73478.429999999993</v>
      </c>
      <c r="D13" s="3">
        <v>36448.489000000001</v>
      </c>
      <c r="E13" s="3">
        <v>6151347</v>
      </c>
      <c r="F13" s="3">
        <v>5863.4930000000004</v>
      </c>
      <c r="G13" s="3">
        <v>6414.0079999999998</v>
      </c>
      <c r="H13" s="6">
        <f t="shared" si="0"/>
        <v>91.416989189910595</v>
      </c>
      <c r="I13" s="6">
        <v>19120.103999999999</v>
      </c>
      <c r="J13" s="6">
        <v>1540.6959999999992</v>
      </c>
      <c r="K13" s="6">
        <v>20660.8</v>
      </c>
      <c r="L13" s="6">
        <v>527.51602080000009</v>
      </c>
      <c r="M13" s="6">
        <v>22.676948807000002</v>
      </c>
      <c r="N13" s="6">
        <v>1.601906871</v>
      </c>
      <c r="O13" s="6">
        <v>551.79487647799999</v>
      </c>
      <c r="P13" s="6">
        <v>707.30838158799997</v>
      </c>
      <c r="Q13" s="6">
        <f t="shared" si="1"/>
        <v>78.013337723942726</v>
      </c>
    </row>
    <row r="14" spans="1:17" x14ac:dyDescent="0.25">
      <c r="A14" s="8">
        <v>43800</v>
      </c>
      <c r="B14" s="2">
        <v>42086</v>
      </c>
      <c r="C14" s="2">
        <v>75301</v>
      </c>
      <c r="D14" s="2">
        <v>37114.222999999998</v>
      </c>
      <c r="E14" s="2">
        <v>6188457</v>
      </c>
      <c r="F14" s="2">
        <v>5890.402</v>
      </c>
      <c r="G14" s="2">
        <v>6537.5020000000004</v>
      </c>
      <c r="H14" s="5">
        <f t="shared" si="0"/>
        <v>90.101723869453494</v>
      </c>
      <c r="I14" s="5">
        <v>21009.350999999999</v>
      </c>
      <c r="J14" s="5">
        <v>1661.5070000000005</v>
      </c>
      <c r="K14" s="5">
        <v>22670.858</v>
      </c>
      <c r="L14" s="5">
        <v>529.04620017000002</v>
      </c>
      <c r="M14" s="5">
        <v>24.515211982</v>
      </c>
      <c r="N14" s="5">
        <v>1.7299663809999999</v>
      </c>
      <c r="O14" s="5">
        <v>555.29137853300006</v>
      </c>
      <c r="P14" s="5">
        <v>719.99283233800099</v>
      </c>
      <c r="Q14" s="5">
        <f t="shared" si="1"/>
        <v>77.124570355766849</v>
      </c>
    </row>
    <row r="15" spans="1:17" x14ac:dyDescent="0.25">
      <c r="A15" s="9">
        <v>43831</v>
      </c>
      <c r="B15" s="3">
        <v>42555</v>
      </c>
      <c r="C15" s="3">
        <v>75909.41</v>
      </c>
      <c r="D15" s="3">
        <v>37471.864999999998</v>
      </c>
      <c r="E15" s="3">
        <v>6119924</v>
      </c>
      <c r="F15" s="3">
        <v>5789</v>
      </c>
      <c r="G15" s="3">
        <v>6594.1440000000002</v>
      </c>
      <c r="H15" s="6">
        <f t="shared" si="0"/>
        <v>87.790014898067128</v>
      </c>
      <c r="I15" s="6">
        <v>22075.550999999999</v>
      </c>
      <c r="J15" s="6">
        <v>1785.865</v>
      </c>
      <c r="K15" s="6">
        <v>23861.416000000001</v>
      </c>
      <c r="L15" s="6">
        <v>520.93738404000101</v>
      </c>
      <c r="M15" s="6">
        <v>25.404532595000099</v>
      </c>
      <c r="N15" s="6">
        <v>1.8565959240000001</v>
      </c>
      <c r="O15" s="6">
        <v>548.19851255900107</v>
      </c>
      <c r="P15" s="6">
        <v>727.10908206800104</v>
      </c>
      <c r="Q15" s="6">
        <f t="shared" si="1"/>
        <v>75.394260101915791</v>
      </c>
    </row>
    <row r="16" spans="1:17" x14ac:dyDescent="0.25">
      <c r="A16" s="8">
        <v>43862</v>
      </c>
      <c r="B16" s="2">
        <v>41162</v>
      </c>
      <c r="C16" s="2">
        <v>73172.2</v>
      </c>
      <c r="D16" s="2">
        <v>36147.93</v>
      </c>
      <c r="E16" s="2">
        <v>5931189</v>
      </c>
      <c r="F16" s="2">
        <v>5615.9790000000003</v>
      </c>
      <c r="G16" s="2">
        <v>6358.8720000000003</v>
      </c>
      <c r="H16" s="5">
        <f t="shared" si="0"/>
        <v>88.31722041267696</v>
      </c>
      <c r="I16" s="5">
        <v>21597.039000000001</v>
      </c>
      <c r="J16" s="5">
        <v>1666.4810000000004</v>
      </c>
      <c r="K16" s="5">
        <v>23263.52</v>
      </c>
      <c r="L16" s="5">
        <v>505.36973718000002</v>
      </c>
      <c r="M16" s="5">
        <v>25.277963848999999</v>
      </c>
      <c r="N16" s="5">
        <v>1.7027868430000002</v>
      </c>
      <c r="O16" s="5">
        <v>532.35048787199992</v>
      </c>
      <c r="P16" s="5">
        <v>701.16563352599906</v>
      </c>
      <c r="Q16" s="5">
        <f t="shared" si="1"/>
        <v>75.923642348945847</v>
      </c>
    </row>
    <row r="17" spans="1:17" x14ac:dyDescent="0.25">
      <c r="A17" s="9">
        <v>43891</v>
      </c>
      <c r="B17" s="3">
        <v>32233</v>
      </c>
      <c r="C17" s="3">
        <v>56567</v>
      </c>
      <c r="D17" s="3">
        <v>28386.351999999999</v>
      </c>
      <c r="E17" s="3">
        <v>3793464</v>
      </c>
      <c r="F17" s="3">
        <v>3660.3820000000001</v>
      </c>
      <c r="G17" s="3">
        <v>4985.152</v>
      </c>
      <c r="H17" s="6">
        <f t="shared" si="0"/>
        <v>73.425684913920378</v>
      </c>
      <c r="I17" s="6">
        <v>15280.57</v>
      </c>
      <c r="J17" s="6"/>
      <c r="K17" s="6">
        <v>15280.57</v>
      </c>
      <c r="L17" s="6">
        <v>329.41777760999997</v>
      </c>
      <c r="M17" s="6">
        <v>17.746428839</v>
      </c>
      <c r="N17" s="6">
        <v>0</v>
      </c>
      <c r="O17" s="6">
        <v>347.16420644900001</v>
      </c>
      <c r="P17" s="6">
        <v>550.21434930700002</v>
      </c>
      <c r="Q17" s="6">
        <f t="shared" si="1"/>
        <v>63.096174588368427</v>
      </c>
    </row>
    <row r="18" spans="1:17" x14ac:dyDescent="0.25">
      <c r="A18" s="1" t="s">
        <v>22</v>
      </c>
      <c r="B18" s="4">
        <f>SUM(B6:B17)</f>
        <v>475868</v>
      </c>
      <c r="C18" s="4">
        <f t="shared" ref="C18:G18" si="2">SUM(C6:C17)</f>
        <v>843787.93333333323</v>
      </c>
      <c r="D18" s="4">
        <f t="shared" si="2"/>
        <v>425681.72399999999</v>
      </c>
      <c r="E18" s="4">
        <f t="shared" si="2"/>
        <v>68058886</v>
      </c>
      <c r="F18" s="4">
        <f t="shared" si="2"/>
        <v>65356.184999999998</v>
      </c>
      <c r="G18" s="4">
        <f t="shared" si="2"/>
        <v>75051.152000000002</v>
      </c>
      <c r="H18" s="7">
        <f t="shared" si="0"/>
        <v>87.082187625847496</v>
      </c>
      <c r="I18" s="7">
        <f t="shared" ref="I18:P18" si="3">SUM(I6:I17)</f>
        <v>242078.62299999999</v>
      </c>
      <c r="J18" s="7">
        <f t="shared" si="3"/>
        <v>17195.88</v>
      </c>
      <c r="K18" s="7">
        <f t="shared" si="3"/>
        <v>259274.49999999997</v>
      </c>
      <c r="L18" s="7">
        <f t="shared" si="3"/>
        <v>5880.5194268000005</v>
      </c>
      <c r="M18" s="7">
        <f t="shared" si="3"/>
        <v>284.03334021899997</v>
      </c>
      <c r="N18" s="7">
        <f t="shared" si="3"/>
        <v>17.485200213000002</v>
      </c>
      <c r="O18" s="7">
        <f t="shared" si="3"/>
        <v>6182.0379672319996</v>
      </c>
      <c r="P18" s="7">
        <f t="shared" si="3"/>
        <v>8291.4056345040026</v>
      </c>
      <c r="Q18" s="7">
        <f t="shared" si="1"/>
        <v>74.559589046107661</v>
      </c>
    </row>
    <row r="19" spans="1:17" x14ac:dyDescent="0.25">
      <c r="A19" s="13" t="s">
        <v>21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2021-09-15T00:26:01Z</cp:lastPrinted>
  <dcterms:created xsi:type="dcterms:W3CDTF">2018-10-29T04:00:07Z</dcterms:created>
  <dcterms:modified xsi:type="dcterms:W3CDTF">2021-09-15T00:26:50Z</dcterms:modified>
</cp:coreProperties>
</file>