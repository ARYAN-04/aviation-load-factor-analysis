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3. SPICEJET\"/>
    </mc:Choice>
  </mc:AlternateContent>
  <bookViews>
    <workbookView showHorizontalScroll="0" showVerticalScroll="0" xWindow="0" yWindow="0" windowWidth="12015" windowHeight="9495"/>
  </bookViews>
  <sheets>
    <sheet name="SPICEJE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" i="6" l="1"/>
  <c r="K9" i="6"/>
  <c r="K10" i="6"/>
  <c r="K11" i="6"/>
  <c r="K12" i="6"/>
  <c r="K13" i="6"/>
  <c r="K14" i="6"/>
  <c r="K15" i="6"/>
  <c r="K16" i="6"/>
  <c r="K17" i="6"/>
  <c r="K18" i="6"/>
  <c r="K7" i="6"/>
  <c r="K6" i="6"/>
  <c r="P18" i="6" l="1"/>
  <c r="O18" i="6"/>
  <c r="O7" i="6"/>
  <c r="O8" i="6"/>
  <c r="O9" i="6"/>
  <c r="O10" i="6"/>
  <c r="O11" i="6"/>
  <c r="O12" i="6"/>
  <c r="O13" i="6"/>
  <c r="O14" i="6"/>
  <c r="O15" i="6"/>
  <c r="O16" i="6"/>
  <c r="O17" i="6"/>
  <c r="O6" i="6"/>
  <c r="Q6" i="6" l="1"/>
  <c r="Q7" i="6" l="1"/>
  <c r="Q8" i="6"/>
  <c r="Q9" i="6"/>
  <c r="Q10" i="6"/>
  <c r="Q11" i="6"/>
  <c r="Q12" i="6"/>
  <c r="Q13" i="6"/>
  <c r="Q14" i="6"/>
  <c r="Q15" i="6"/>
  <c r="Q16" i="6"/>
  <c r="Q17" i="6"/>
  <c r="H7" i="6"/>
  <c r="H8" i="6"/>
  <c r="H9" i="6"/>
  <c r="H10" i="6"/>
  <c r="H11" i="6"/>
  <c r="H12" i="6"/>
  <c r="H13" i="6"/>
  <c r="H14" i="6"/>
  <c r="H15" i="6"/>
  <c r="H16" i="6"/>
  <c r="H17" i="6"/>
  <c r="M18" i="6" l="1"/>
  <c r="J18" i="6"/>
  <c r="I18" i="6"/>
  <c r="B18" i="6"/>
  <c r="L18" i="6"/>
  <c r="F18" i="6"/>
  <c r="C18" i="6"/>
  <c r="N18" i="6"/>
  <c r="G18" i="6"/>
  <c r="E18" i="6"/>
  <c r="D18" i="6"/>
  <c r="H18" i="6" l="1"/>
  <c r="Q18" i="6"/>
</calcChain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<sst xmlns="http://schemas.openxmlformats.org/spreadsheetml/2006/main" count="27" uniqueCount="25">
  <si>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</si>
  <si>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</si>
  <si>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</si>
  <si>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</si>
  <si>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</si>
  <si>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</si>
  <si>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</si>
  <si>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</si>
  <si>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</si>
  <si>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</si>
  <si>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</si>
  <si>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</si>
  <si>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</si>
  <si>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</si>
  <si>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</si>
  <si>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</si>
  <si>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</si>
  <si>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</si>
  <si>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</si>
  <si>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(स्पाइसजेट) </t>
  </si>
  <si>
    <t>Table 1.02 (SPICEJET)</t>
  </si>
  <si>
    <t>SOURCE:-  ICAO ATR FORM 'A' FURNISHED BY SPICEJET</t>
  </si>
  <si>
    <t>2020-21</t>
  </si>
  <si>
    <t>* DENOTES that THE INTERNATIONAL OPERATIONS BY SCHEDULED INDIAN OPERATORS WERE CARRIED AS PER DGCA’S CIRCULAR DATED 26.03.2020 UNDER COVID-19 RESTRICTION.</t>
  </si>
  <si>
    <t>MONTHLY TRAFFIC AND OPERATING STATISTICS OF SPICEJET ON  SCHEDULED INTERNATIONAL*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</si>
</sst>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9">
    <xf numFmtId="0" fontId="0" fillId="0" borderId="0" xfId="0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167" fontId="0" fillId="5" borderId="1" xfId="0" applyNumberFormat="1" applyFont="1" applyFill="1" applyBorder="1"/>
    <xf numFmtId="166" fontId="5" fillId="5" borderId="1" xfId="1" applyNumberFormat="1" applyFont="1" applyFill="1" applyBorder="1" applyAlignment="1">
      <alignment horizontal="right" vertical="center"/>
    </xf>
    <xf numFmtId="166" fontId="6" fillId="4" borderId="1" xfId="3" applyNumberFormat="1" applyFont="1" applyBorder="1" applyAlignment="1" applyProtection="1">
      <alignment horizontal="center" vertical="center" wrapText="1"/>
    </xf>
    <xf numFmtId="166" fontId="6" fillId="4" borderId="1" xfId="3" applyNumberFormat="1" applyFont="1" applyBorder="1" applyAlignment="1" applyProtection="1">
      <alignment vertical="center" wrapText="1"/>
    </xf>
    <xf numFmtId="166" fontId="3" fillId="6" borderId="1" xfId="3" applyNumberFormat="1" applyFill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168" fontId="3" fillId="4" borderId="1" xfId="3" applyNumberFormat="1" applyBorder="1" applyAlignment="1">
      <alignment horizontal="center" vertical="center"/>
    </xf>
    <xf numFmtId="168" fontId="5" fillId="0" borderId="1" xfId="1" applyNumberFormat="1" applyFont="1" applyFill="1" applyBorder="1" applyAlignment="1">
      <alignment horizontal="center" vertical="center"/>
    </xf>
    <xf numFmtId="168" fontId="0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0" fillId="0" borderId="1" xfId="0" applyNumberFormat="1" applyFont="1" applyBorder="1" applyAlignment="1">
      <alignment horizontal="center"/>
    </xf>
    <xf numFmtId="167" fontId="0" fillId="0" borderId="1" xfId="0" applyNumberFormat="1" applyFont="1" applyBorder="1"/>
    <xf numFmtId="0" fontId="6" fillId="0" borderId="1" xfId="0" applyFont="1" applyBorder="1" applyAlignment="1">
      <alignment horizontal="left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="60" zoomScaleNormal="100" workbookViewId="0">
      <selection sqref="A1:Q20"/>
    </sheetView>
  </sheetViews>
  <sheetFormatPr defaultRowHeight="15" x14ac:dyDescent="0.25"/>
  <cols>
    <col min="1" max="1" width="17.42578125" style="25" customWidth="1"/>
    <col min="2" max="2" width="7.7109375" customWidth="1"/>
    <col min="3" max="3" width="9.28515625" customWidth="1"/>
    <col min="4" max="4" width="7.5703125" customWidth="1"/>
    <col min="5" max="5" width="10.28515625" customWidth="1"/>
    <col min="6" max="6" width="10.85546875" customWidth="1"/>
    <col min="7" max="7" width="10.7109375" customWidth="1"/>
    <col min="8" max="8" width="7.140625" customWidth="1"/>
    <col min="9" max="9" width="9.140625" customWidth="1"/>
    <col min="10" max="10" width="10" customWidth="1"/>
    <col min="11" max="11" width="10.7109375" customWidth="1"/>
    <col min="12" max="12" width="10.28515625" customWidth="1"/>
    <col min="13" max="13" width="11.42578125" customWidth="1"/>
    <col min="14" max="14" width="5.85546875" customWidth="1"/>
    <col min="15" max="15" width="9.7109375" customWidth="1"/>
    <col min="16" max="16" width="10.85546875" customWidth="1"/>
    <col min="17" max="17" width="7.28515625" customWidth="1"/>
  </cols>
  <sheetData>
    <row r="1" spans="1:17" ht="15" customHeight="1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5" customHeight="1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5" customHeight="1" x14ac:dyDescent="0.25">
      <c r="A3" s="18" t="s">
        <v>24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1.9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14.75" customHeight="1" x14ac:dyDescent="0.25">
      <c r="A5" s="18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21"/>
      <c r="H5" s="21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21"/>
      <c r="Q5" s="21"/>
    </row>
    <row r="6" spans="1:17" x14ac:dyDescent="0.25">
      <c r="A6" s="22">
        <v>43922</v>
      </c>
      <c r="B6" s="3">
        <v>219</v>
      </c>
      <c r="C6" s="3">
        <v>784.49999999999966</v>
      </c>
      <c r="D6" s="3">
        <v>578.327</v>
      </c>
      <c r="E6" s="3">
        <v>0</v>
      </c>
      <c r="F6" s="3">
        <v>0</v>
      </c>
      <c r="G6" s="3">
        <v>0</v>
      </c>
      <c r="H6" s="4">
        <v>0</v>
      </c>
      <c r="I6" s="4">
        <v>1505.13247</v>
      </c>
      <c r="J6" s="4">
        <v>0</v>
      </c>
      <c r="K6" s="4">
        <f>I6+J6</f>
        <v>1505.13247</v>
      </c>
      <c r="L6" s="4"/>
      <c r="M6" s="4">
        <v>3.8791413540000002</v>
      </c>
      <c r="N6" s="4">
        <v>0</v>
      </c>
      <c r="O6" s="4">
        <f>L6+M6</f>
        <v>3.8791413540000002</v>
      </c>
      <c r="P6" s="4">
        <v>11.647165000000001</v>
      </c>
      <c r="Q6" s="9">
        <f t="shared" ref="Q6:Q18" si="0">O6/P6*100</f>
        <v>33.305455482085122</v>
      </c>
    </row>
    <row r="7" spans="1:17" x14ac:dyDescent="0.25">
      <c r="A7" s="23">
        <v>43952</v>
      </c>
      <c r="B7" s="1">
        <v>5</v>
      </c>
      <c r="C7" s="1">
        <v>11.483333333333333</v>
      </c>
      <c r="D7" s="1">
        <v>7.9119999999999999</v>
      </c>
      <c r="E7" s="1">
        <v>287</v>
      </c>
      <c r="F7" s="1">
        <v>0.69707200000000002</v>
      </c>
      <c r="G7" s="1">
        <v>1.4168910000000001</v>
      </c>
      <c r="H7" s="2">
        <f t="shared" ref="H7:H17" si="1">F7/G7*100</f>
        <v>49.197291817084022</v>
      </c>
      <c r="I7" s="2">
        <v>3679.5441999999989</v>
      </c>
      <c r="J7" s="2">
        <v>0</v>
      </c>
      <c r="K7" s="2">
        <f>I7+J7</f>
        <v>3679.5441999999989</v>
      </c>
      <c r="L7" s="2">
        <v>5.2280399999999998E-2</v>
      </c>
      <c r="M7" s="2"/>
      <c r="N7" s="2">
        <v>0</v>
      </c>
      <c r="O7" s="12">
        <f t="shared" ref="O7:O17" si="2">L7+M7</f>
        <v>5.2280399999999998E-2</v>
      </c>
      <c r="P7" s="2">
        <v>0.1205825</v>
      </c>
      <c r="Q7" s="2">
        <f t="shared" si="0"/>
        <v>43.356540128128046</v>
      </c>
    </row>
    <row r="8" spans="1:17" x14ac:dyDescent="0.25">
      <c r="A8" s="22">
        <v>43983</v>
      </c>
      <c r="B8" s="3">
        <v>168</v>
      </c>
      <c r="C8" s="3">
        <v>604.62</v>
      </c>
      <c r="D8" s="3">
        <v>445.11</v>
      </c>
      <c r="E8" s="3">
        <v>27976</v>
      </c>
      <c r="F8" s="3">
        <v>75.045000000000002</v>
      </c>
      <c r="G8" s="3">
        <v>83.786000000000001</v>
      </c>
      <c r="H8" s="4">
        <f t="shared" si="1"/>
        <v>89.567469505645334</v>
      </c>
      <c r="I8" s="4">
        <v>3849.0101399999999</v>
      </c>
      <c r="J8" s="4">
        <v>0</v>
      </c>
      <c r="K8" s="4">
        <f t="shared" ref="K8:K18" si="3">I8+J8</f>
        <v>3849.0101399999999</v>
      </c>
      <c r="L8" s="4">
        <v>5.6280000000000001</v>
      </c>
      <c r="M8" s="4"/>
      <c r="N8" s="4">
        <v>0</v>
      </c>
      <c r="O8" s="4">
        <f t="shared" si="2"/>
        <v>5.6280000000000001</v>
      </c>
      <c r="P8" s="4">
        <v>7.1219999999999999</v>
      </c>
      <c r="Q8" s="4">
        <f t="shared" si="0"/>
        <v>79.022746419545072</v>
      </c>
    </row>
    <row r="9" spans="1:17" x14ac:dyDescent="0.25">
      <c r="A9" s="23">
        <v>44013</v>
      </c>
      <c r="B9" s="1">
        <v>979</v>
      </c>
      <c r="C9" s="1">
        <v>3055</v>
      </c>
      <c r="D9" s="1">
        <v>2205.4569999999999</v>
      </c>
      <c r="E9" s="1">
        <v>46940</v>
      </c>
      <c r="F9" s="1">
        <v>132.85525700000002</v>
      </c>
      <c r="G9" s="1">
        <v>148.53508199999999</v>
      </c>
      <c r="H9" s="2">
        <f t="shared" si="1"/>
        <v>89.443689134665192</v>
      </c>
      <c r="I9" s="2">
        <v>5422.6613399999997</v>
      </c>
      <c r="J9" s="2">
        <v>0</v>
      </c>
      <c r="K9" s="2">
        <f t="shared" si="3"/>
        <v>5422.6613399999997</v>
      </c>
      <c r="L9" s="2">
        <v>9.9641443499999998</v>
      </c>
      <c r="M9" s="2">
        <v>11.480948477100007</v>
      </c>
      <c r="N9" s="2">
        <v>0</v>
      </c>
      <c r="O9" s="12">
        <f t="shared" si="2"/>
        <v>21.445092827100005</v>
      </c>
      <c r="P9" s="2">
        <v>39.550879400000007</v>
      </c>
      <c r="Q9" s="2">
        <f t="shared" si="0"/>
        <v>54.22153224512121</v>
      </c>
    </row>
    <row r="10" spans="1:17" x14ac:dyDescent="0.25">
      <c r="A10" s="22">
        <v>44044</v>
      </c>
      <c r="B10" s="3">
        <v>780</v>
      </c>
      <c r="C10" s="3">
        <v>2524.3166666666666</v>
      </c>
      <c r="D10" s="3">
        <v>1863.9010000000001</v>
      </c>
      <c r="E10" s="3">
        <v>27239</v>
      </c>
      <c r="F10" s="3">
        <v>98.159118000000007</v>
      </c>
      <c r="G10" s="3">
        <v>115.02952099999999</v>
      </c>
      <c r="H10" s="4">
        <f t="shared" si="1"/>
        <v>85.333849212499118</v>
      </c>
      <c r="I10" s="4">
        <v>4891.0118599999996</v>
      </c>
      <c r="J10" s="4">
        <v>0</v>
      </c>
      <c r="K10" s="4">
        <f t="shared" si="3"/>
        <v>4891.0118599999996</v>
      </c>
      <c r="L10" s="4">
        <v>7.3619339099999985</v>
      </c>
      <c r="M10" s="4">
        <v>10.552805885179998</v>
      </c>
      <c r="N10" s="4">
        <v>0</v>
      </c>
      <c r="O10" s="4">
        <f t="shared" si="2"/>
        <v>17.914739795179997</v>
      </c>
      <c r="P10" s="4">
        <v>38.038940900000007</v>
      </c>
      <c r="Q10" s="4">
        <f t="shared" si="0"/>
        <v>47.095790185840833</v>
      </c>
    </row>
    <row r="11" spans="1:17" x14ac:dyDescent="0.25">
      <c r="A11" s="23">
        <v>44075</v>
      </c>
      <c r="B11" s="1">
        <v>853</v>
      </c>
      <c r="C11" s="1">
        <v>2960.083333333333</v>
      </c>
      <c r="D11" s="1">
        <v>2156.6190000000001</v>
      </c>
      <c r="E11" s="1">
        <v>42875</v>
      </c>
      <c r="F11" s="1">
        <v>134.12109899999999</v>
      </c>
      <c r="G11" s="1">
        <v>159.16024200000001</v>
      </c>
      <c r="H11" s="2">
        <f t="shared" si="1"/>
        <v>84.267966242474031</v>
      </c>
      <c r="I11" s="2">
        <v>5379.299710000003</v>
      </c>
      <c r="J11" s="2">
        <v>0</v>
      </c>
      <c r="K11" s="2">
        <f t="shared" si="3"/>
        <v>5379.299710000003</v>
      </c>
      <c r="L11" s="2">
        <v>10.059082430000004</v>
      </c>
      <c r="M11" s="2">
        <v>13.134754207740013</v>
      </c>
      <c r="N11" s="2">
        <v>0</v>
      </c>
      <c r="O11" s="12">
        <f t="shared" si="2"/>
        <v>23.193836637740016</v>
      </c>
      <c r="P11" s="2">
        <v>49.353448199999995</v>
      </c>
      <c r="Q11" s="2">
        <f t="shared" si="0"/>
        <v>46.995372124252135</v>
      </c>
    </row>
    <row r="12" spans="1:17" x14ac:dyDescent="0.25">
      <c r="A12" s="22">
        <v>44105</v>
      </c>
      <c r="B12" s="3">
        <v>947</v>
      </c>
      <c r="C12" s="3">
        <v>3330.2666666666664</v>
      </c>
      <c r="D12" s="3">
        <v>2472.0340000000001</v>
      </c>
      <c r="E12" s="3">
        <v>71309</v>
      </c>
      <c r="F12" s="3">
        <v>190.15343200000001</v>
      </c>
      <c r="G12" s="3">
        <v>226.52808400000001</v>
      </c>
      <c r="H12" s="4">
        <f t="shared" si="1"/>
        <v>83.942541976384703</v>
      </c>
      <c r="I12" s="4">
        <v>5666.3205099999986</v>
      </c>
      <c r="J12" s="4">
        <v>0</v>
      </c>
      <c r="K12" s="4">
        <f t="shared" si="3"/>
        <v>5666.3205099999986</v>
      </c>
      <c r="L12" s="4">
        <v>14.261507400000005</v>
      </c>
      <c r="M12" s="4">
        <v>15.783529362910015</v>
      </c>
      <c r="N12" s="4">
        <v>0</v>
      </c>
      <c r="O12" s="4">
        <f t="shared" si="2"/>
        <v>30.045036762910019</v>
      </c>
      <c r="P12" s="4">
        <v>55.582346829999999</v>
      </c>
      <c r="Q12" s="4">
        <f t="shared" si="0"/>
        <v>54.054998531824353</v>
      </c>
    </row>
    <row r="13" spans="1:17" x14ac:dyDescent="0.25">
      <c r="A13" s="23">
        <v>44136</v>
      </c>
      <c r="B13" s="1">
        <v>1096</v>
      </c>
      <c r="C13" s="1">
        <v>3705.2166666666667</v>
      </c>
      <c r="D13" s="1">
        <v>2710.2640000000001</v>
      </c>
      <c r="E13" s="1">
        <v>79804</v>
      </c>
      <c r="F13" s="1">
        <v>204.07152600000001</v>
      </c>
      <c r="G13" s="1">
        <v>240.66521499999999</v>
      </c>
      <c r="H13" s="2">
        <f t="shared" si="1"/>
        <v>84.794774350751112</v>
      </c>
      <c r="I13" s="2">
        <v>4162.5519899999999</v>
      </c>
      <c r="J13" s="2">
        <v>0</v>
      </c>
      <c r="K13" s="2">
        <f t="shared" si="3"/>
        <v>4162.5519899999999</v>
      </c>
      <c r="L13" s="2">
        <v>15.305364470000002</v>
      </c>
      <c r="M13" s="2">
        <v>9.575195284809995</v>
      </c>
      <c r="N13" s="2">
        <v>0</v>
      </c>
      <c r="O13" s="12">
        <f t="shared" si="2"/>
        <v>24.880559754809997</v>
      </c>
      <c r="P13" s="2">
        <v>61.859315899999991</v>
      </c>
      <c r="Q13" s="2">
        <f t="shared" si="0"/>
        <v>40.221200950607347</v>
      </c>
    </row>
    <row r="14" spans="1:17" x14ac:dyDescent="0.25">
      <c r="A14" s="22">
        <v>44166</v>
      </c>
      <c r="B14" s="3">
        <v>1135</v>
      </c>
      <c r="C14" s="3">
        <v>3823.4666666666667</v>
      </c>
      <c r="D14" s="3">
        <v>2780.2929999999997</v>
      </c>
      <c r="E14" s="3">
        <v>86107</v>
      </c>
      <c r="F14" s="3">
        <v>211.372916</v>
      </c>
      <c r="G14" s="3">
        <v>257.78873399999998</v>
      </c>
      <c r="H14" s="4">
        <f t="shared" si="1"/>
        <v>81.994628981730457</v>
      </c>
      <c r="I14" s="4">
        <v>4709.6723300000003</v>
      </c>
      <c r="J14" s="4">
        <v>0</v>
      </c>
      <c r="K14" s="4">
        <f t="shared" si="3"/>
        <v>4709.6723300000003</v>
      </c>
      <c r="L14" s="4">
        <v>15.852968750000002</v>
      </c>
      <c r="M14" s="4">
        <v>12.869263326529998</v>
      </c>
      <c r="N14" s="4">
        <v>0</v>
      </c>
      <c r="O14" s="4">
        <f t="shared" si="2"/>
        <v>28.722232076529998</v>
      </c>
      <c r="P14" s="4">
        <v>63.720561700000005</v>
      </c>
      <c r="Q14" s="4">
        <f t="shared" si="0"/>
        <v>45.075296435326301</v>
      </c>
    </row>
    <row r="15" spans="1:17" x14ac:dyDescent="0.25">
      <c r="A15" s="26">
        <v>44197</v>
      </c>
      <c r="B15" s="27">
        <v>1137</v>
      </c>
      <c r="C15" s="1">
        <v>3824.3333333333335</v>
      </c>
      <c r="D15" s="1">
        <v>2908.8049999999998</v>
      </c>
      <c r="E15" s="1">
        <v>96827</v>
      </c>
      <c r="F15" s="1">
        <v>243.49869899999999</v>
      </c>
      <c r="G15" s="1">
        <v>300.14862399999998</v>
      </c>
      <c r="H15" s="2">
        <f t="shared" si="1"/>
        <v>81.126042077074459</v>
      </c>
      <c r="I15" s="2">
        <v>4007.1327299999989</v>
      </c>
      <c r="J15" s="2">
        <v>0</v>
      </c>
      <c r="K15" s="2">
        <f t="shared" si="3"/>
        <v>4007.1327299999989</v>
      </c>
      <c r="L15" s="2">
        <v>18.262402419999997</v>
      </c>
      <c r="M15" s="2">
        <v>9.9544250737700004</v>
      </c>
      <c r="N15" s="2">
        <v>0</v>
      </c>
      <c r="O15" s="12">
        <f t="shared" si="2"/>
        <v>28.216827493769998</v>
      </c>
      <c r="P15" s="2">
        <v>68.198982000000001</v>
      </c>
      <c r="Q15" s="2">
        <f t="shared" si="0"/>
        <v>41.374264932239015</v>
      </c>
    </row>
    <row r="16" spans="1:17" x14ac:dyDescent="0.25">
      <c r="A16" s="24">
        <v>44228</v>
      </c>
      <c r="B16" s="8">
        <v>1026</v>
      </c>
      <c r="C16" s="3">
        <v>3532.0166666666664</v>
      </c>
      <c r="D16" s="3">
        <v>2583.1410000000001</v>
      </c>
      <c r="E16" s="3">
        <v>82165</v>
      </c>
      <c r="F16" s="3">
        <v>199.44701000000001</v>
      </c>
      <c r="G16" s="3">
        <v>259.072766</v>
      </c>
      <c r="H16" s="4">
        <f t="shared" si="1"/>
        <v>76.984938663911905</v>
      </c>
      <c r="I16" s="4">
        <v>3327.5131799999999</v>
      </c>
      <c r="J16" s="4">
        <v>0</v>
      </c>
      <c r="K16" s="4">
        <f t="shared" si="3"/>
        <v>3327.5131799999999</v>
      </c>
      <c r="L16" s="4">
        <v>14.958525760000001</v>
      </c>
      <c r="M16" s="4">
        <v>8.6655137727000007</v>
      </c>
      <c r="N16" s="4">
        <v>0</v>
      </c>
      <c r="O16" s="4">
        <f t="shared" si="2"/>
        <v>23.624039532700003</v>
      </c>
      <c r="P16" s="4">
        <v>62.501645100000005</v>
      </c>
      <c r="Q16" s="4">
        <f t="shared" si="0"/>
        <v>37.797468362476756</v>
      </c>
    </row>
    <row r="17" spans="1:17" x14ac:dyDescent="0.25">
      <c r="A17" s="26">
        <v>44256</v>
      </c>
      <c r="B17" s="27">
        <v>1153</v>
      </c>
      <c r="C17" s="1">
        <v>4051</v>
      </c>
      <c r="D17" s="1">
        <v>2977.2869999999998</v>
      </c>
      <c r="E17" s="1">
        <v>86889</v>
      </c>
      <c r="F17" s="1">
        <v>210.208403</v>
      </c>
      <c r="G17" s="1">
        <v>271.71262300000001</v>
      </c>
      <c r="H17" s="2">
        <f t="shared" si="1"/>
        <v>77.364238981271029</v>
      </c>
      <c r="I17" s="2">
        <v>4185.46317</v>
      </c>
      <c r="J17" s="2">
        <v>0</v>
      </c>
      <c r="K17" s="2">
        <f t="shared" si="3"/>
        <v>4185.46317</v>
      </c>
      <c r="L17" s="2">
        <v>15.765630230000001</v>
      </c>
      <c r="M17" s="2">
        <v>11.75003715419</v>
      </c>
      <c r="N17" s="2">
        <v>0</v>
      </c>
      <c r="O17" s="12">
        <f t="shared" si="2"/>
        <v>27.515667384190003</v>
      </c>
      <c r="P17" s="2">
        <v>76.553325000000001</v>
      </c>
      <c r="Q17" s="2">
        <f t="shared" si="0"/>
        <v>35.943138177459964</v>
      </c>
    </row>
    <row r="18" spans="1:17" x14ac:dyDescent="0.25">
      <c r="A18" s="5" t="s">
        <v>22</v>
      </c>
      <c r="B18" s="6">
        <f>SUM(B6:B17)</f>
        <v>9498</v>
      </c>
      <c r="C18" s="6">
        <f t="shared" ref="C18:P18" si="4">SUM(C6:C17)</f>
        <v>32206.30333333333</v>
      </c>
      <c r="D18" s="6">
        <f t="shared" si="4"/>
        <v>23689.149999999998</v>
      </c>
      <c r="E18" s="6">
        <f t="shared" si="4"/>
        <v>648418</v>
      </c>
      <c r="F18" s="6">
        <f t="shared" si="4"/>
        <v>1699.6295320000002</v>
      </c>
      <c r="G18" s="6">
        <f t="shared" si="4"/>
        <v>2063.8437819999999</v>
      </c>
      <c r="H18" s="7">
        <f>F18/G18*100</f>
        <v>82.352625078674691</v>
      </c>
      <c r="I18" s="7">
        <f t="shared" si="4"/>
        <v>50785.313629999997</v>
      </c>
      <c r="J18" s="11">
        <f t="shared" si="4"/>
        <v>0</v>
      </c>
      <c r="K18" s="4">
        <f t="shared" si="3"/>
        <v>50785.313629999997</v>
      </c>
      <c r="L18" s="7">
        <f t="shared" si="4"/>
        <v>127.47184012000001</v>
      </c>
      <c r="M18" s="7">
        <f t="shared" si="4"/>
        <v>107.64561389893002</v>
      </c>
      <c r="N18" s="10">
        <f t="shared" si="4"/>
        <v>0</v>
      </c>
      <c r="O18" s="7">
        <f>L18+M18</f>
        <v>235.11745401893003</v>
      </c>
      <c r="P18" s="7">
        <f t="shared" si="4"/>
        <v>534.24919253000007</v>
      </c>
      <c r="Q18" s="7">
        <f t="shared" si="0"/>
        <v>44.008948877489843</v>
      </c>
    </row>
    <row r="19" spans="1:17" ht="15" customHeight="1" x14ac:dyDescent="0.25">
      <c r="A19" s="14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ht="12.75" customHeight="1" x14ac:dyDescent="0.25">
      <c r="A20" s="28" t="s">
        <v>23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</sheetData>
  <mergeCells count="14">
    <mergeCell ref="A20:Q20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2022-04-26T05:56:47Z</cp:lastPrinted>
  <dcterms:created xsi:type="dcterms:W3CDTF">2018-10-29T04:00:09Z</dcterms:created>
  <dcterms:modified xsi:type="dcterms:W3CDTF">2022-04-26T05:57:34Z</dcterms:modified>
</cp:coreProperties>
</file>