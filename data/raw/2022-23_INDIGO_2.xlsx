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INDIGO\"/>
    </mc:Choice>
  </mc:AlternateContent>
  <bookViews>
    <workbookView showHorizontalScroll="0" showVerticalScroll="0" xWindow="0" yWindow="0" windowWidth="24000" windowHeight="9735"/>
  </bookViews>
  <sheets>
    <sheet name="INDIGO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4" l="1"/>
  <c r="Q15" i="4"/>
  <c r="Q14" i="4"/>
  <c r="Q13" i="4"/>
  <c r="Q12" i="4"/>
  <c r="Q11" i="4"/>
  <c r="Q10" i="4"/>
  <c r="Q9" i="4"/>
  <c r="Q8" i="4"/>
  <c r="Q7" i="4"/>
  <c r="Q6" i="4"/>
  <c r="H16" i="4"/>
  <c r="H15" i="4"/>
  <c r="H14" i="4"/>
  <c r="H13" i="4"/>
  <c r="H12" i="4"/>
  <c r="H11" i="4"/>
  <c r="H10" i="4"/>
  <c r="H9" i="4"/>
  <c r="H8" i="4"/>
  <c r="H7" i="4"/>
  <c r="H6" i="4"/>
  <c r="P18" i="4" l="1"/>
  <c r="O18" i="4"/>
  <c r="M18" i="4"/>
  <c r="L18" i="4"/>
  <c r="Q17" i="4" l="1"/>
  <c r="Q18" i="4"/>
  <c r="H17" i="4" l="1"/>
  <c r="J18" i="4" l="1"/>
  <c r="I18" i="4"/>
  <c r="F18" i="4"/>
  <c r="B18" i="4"/>
  <c r="N18" i="4"/>
  <c r="K18" i="4"/>
  <c r="G18" i="4"/>
  <c r="E18" i="4"/>
  <c r="D18" i="4"/>
  <c r="C18" i="4"/>
  <c r="H18" i="4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<sst xmlns="http://schemas.openxmlformats.org/spreadsheetml/2006/main" count="26" uniqueCount="24">
  <si>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</si>
  <si>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</si>
  <si>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</si>
  <si>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</si>
  <si>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</si>
  <si>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</si>
  <si>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</si>
  <si>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</si>
  <si>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</si>
  <si>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</si>
  <si>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</si>
  <si>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</si>
  <si>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</si>
  <si>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</si>
  <si>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</si>
  <si>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</si>
  <si>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</si>
  <si>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</si>
  <si>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</si>
  <si>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(इंडिगो) </t>
  </si>
  <si>
    <t>Table 1.02 (INDIGO)</t>
  </si>
  <si>
    <t>SOURCE:-  ICAO ATR FORM 'A' FURNISHED BY INDIGO</t>
  </si>
  <si>
    <t>2022-23</t>
  </si>
  <si>
    <t>MONTHLY TRAFFIC AND OPERATING STATISTICS OF INDIGO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</si>
</sst>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5" fillId="0" borderId="2" xfId="1" applyNumberFormat="1" applyFont="1" applyFill="1" applyBorder="1" applyAlignment="1">
      <alignment horizontal="right" vertical="center"/>
    </xf>
    <xf numFmtId="165" fontId="5" fillId="0" borderId="3" xfId="1" applyNumberFormat="1" applyFont="1" applyFill="1" applyBorder="1" applyAlignment="1">
      <alignment horizontal="right" vertical="center"/>
    </xf>
    <xf numFmtId="167" fontId="0" fillId="0" borderId="0" xfId="0" applyNumberFormat="1" applyFont="1" applyBorder="1"/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3" fillId="6" borderId="1" xfId="3" applyNumberFormat="1" applyFill="1" applyBorder="1" applyAlignment="1">
      <alignment horizontal="right" vertical="center"/>
    </xf>
    <xf numFmtId="166" fontId="6" fillId="4" borderId="1" xfId="3" applyNumberFormat="1" applyFont="1" applyBorder="1" applyAlignment="1">
      <alignment horizontal="right" vertical="center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8" fontId="6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O7" zoomScale="115" zoomScaleNormal="100" zoomScaleSheetLayoutView="115" workbookViewId="0">
      <selection activeCell="U16" sqref="U16"/>
    </sheetView>
  </sheetViews>
  <sheetFormatPr defaultRowHeight="15" x14ac:dyDescent="0.25"/>
  <cols>
    <col min="1" max="1" width="15.7109375" customWidth="1"/>
    <col min="2" max="2" width="8.5703125" customWidth="1"/>
    <col min="3" max="3" width="9.42578125" customWidth="1"/>
    <col min="4" max="4" width="9.28515625" customWidth="1"/>
    <col min="5" max="5" width="10.85546875" customWidth="1"/>
    <col min="6" max="7" width="10" customWidth="1"/>
    <col min="8" max="8" width="8.42578125" customWidth="1"/>
    <col min="9" max="9" width="9.85546875" customWidth="1"/>
    <col min="10" max="10" width="7" customWidth="1"/>
    <col min="11" max="11" width="9.85546875" customWidth="1"/>
    <col min="12" max="12" width="11.7109375" customWidth="1"/>
    <col min="13" max="13" width="9.28515625" customWidth="1"/>
    <col min="14" max="14" width="9.42578125" customWidth="1"/>
    <col min="15" max="15" width="11.42578125" customWidth="1"/>
    <col min="16" max="16" width="10.42578125" customWidth="1"/>
    <col min="17" max="17" width="9.28515625" customWidth="1"/>
  </cols>
  <sheetData>
    <row r="1" spans="1:17" ht="15" customHeight="1" x14ac:dyDescent="0.25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5" customHeight="1" x14ac:dyDescent="0.2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0.6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8" t="s">
        <v>3</v>
      </c>
      <c r="H4" s="18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8" t="s">
        <v>7</v>
      </c>
      <c r="Q4" s="18" t="s">
        <v>8</v>
      </c>
    </row>
    <row r="5" spans="1:17" ht="101.25" customHeight="1" x14ac:dyDescent="0.25">
      <c r="A5" s="24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9"/>
      <c r="H5" s="19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9"/>
      <c r="Q5" s="19"/>
    </row>
    <row r="6" spans="1:17" x14ac:dyDescent="0.25">
      <c r="A6" s="15">
        <v>44652</v>
      </c>
      <c r="B6" s="3">
        <v>3283</v>
      </c>
      <c r="C6" s="3">
        <v>12181.54</v>
      </c>
      <c r="D6" s="3">
        <v>8072.3609999999999</v>
      </c>
      <c r="E6" s="3">
        <v>453283</v>
      </c>
      <c r="F6" s="3">
        <v>1129.0219999999999</v>
      </c>
      <c r="G6" s="3">
        <v>1526.979</v>
      </c>
      <c r="H6" s="4">
        <f t="shared" ref="H6:H16" si="0">F6/G6*100</f>
        <v>73.938279439337407</v>
      </c>
      <c r="I6" s="4">
        <v>3026.0549999999998</v>
      </c>
      <c r="J6" s="4"/>
      <c r="K6" s="4">
        <v>3026.0549999999998</v>
      </c>
      <c r="L6" s="4">
        <v>101.61185184</v>
      </c>
      <c r="M6" s="4">
        <v>7.4871915300000005</v>
      </c>
      <c r="N6" s="4">
        <v>0</v>
      </c>
      <c r="O6" s="4">
        <v>109.09904337</v>
      </c>
      <c r="P6" s="4">
        <v>177.100296426</v>
      </c>
      <c r="Q6" s="4">
        <f t="shared" ref="Q6:Q16" si="1">O6/P6*100</f>
        <v>61.602970504109912</v>
      </c>
    </row>
    <row r="7" spans="1:17" x14ac:dyDescent="0.25">
      <c r="A7" s="16">
        <v>44682</v>
      </c>
      <c r="B7" s="1">
        <v>4142</v>
      </c>
      <c r="C7" s="1">
        <v>15581.32</v>
      </c>
      <c r="D7" s="9">
        <v>10420.290000000001</v>
      </c>
      <c r="E7" s="1">
        <v>613545</v>
      </c>
      <c r="F7" s="1">
        <v>1545.875</v>
      </c>
      <c r="G7" s="1">
        <v>1987.723</v>
      </c>
      <c r="H7" s="2">
        <f t="shared" si="0"/>
        <v>77.771148193183862</v>
      </c>
      <c r="I7" s="2">
        <v>2975.17</v>
      </c>
      <c r="J7" s="2"/>
      <c r="K7" s="2">
        <v>2975.17</v>
      </c>
      <c r="L7" s="2">
        <v>139.12880039999988</v>
      </c>
      <c r="M7" s="2">
        <v>7.5036356509999997</v>
      </c>
      <c r="N7" s="2">
        <v>0</v>
      </c>
      <c r="O7" s="2">
        <v>146.63243605099984</v>
      </c>
      <c r="P7" s="2">
        <v>223.40981446699996</v>
      </c>
      <c r="Q7" s="2">
        <f t="shared" si="1"/>
        <v>65.633838155601282</v>
      </c>
    </row>
    <row r="8" spans="1:17" x14ac:dyDescent="0.25">
      <c r="A8" s="15">
        <v>44713</v>
      </c>
      <c r="B8" s="3">
        <v>4409</v>
      </c>
      <c r="C8" s="3">
        <v>16686.34</v>
      </c>
      <c r="D8" s="11">
        <v>11295.59</v>
      </c>
      <c r="E8" s="3">
        <v>676807</v>
      </c>
      <c r="F8" s="3">
        <v>1742.586</v>
      </c>
      <c r="G8" s="3">
        <v>2150.8539999999998</v>
      </c>
      <c r="H8" s="4">
        <f t="shared" si="0"/>
        <v>81.018330393415823</v>
      </c>
      <c r="I8" s="4">
        <v>3281.4659999999999</v>
      </c>
      <c r="J8" s="4"/>
      <c r="K8" s="4">
        <v>3281.4659999999999</v>
      </c>
      <c r="L8" s="4">
        <v>156.83327324999999</v>
      </c>
      <c r="M8" s="4">
        <v>8.3161347170000006</v>
      </c>
      <c r="N8" s="4">
        <v>0</v>
      </c>
      <c r="O8" s="4">
        <v>165.149407967</v>
      </c>
      <c r="P8" s="4">
        <v>243.50285379900006</v>
      </c>
      <c r="Q8" s="4">
        <f t="shared" si="1"/>
        <v>67.822370617193229</v>
      </c>
    </row>
    <row r="9" spans="1:17" x14ac:dyDescent="0.25">
      <c r="A9" s="16">
        <v>44743</v>
      </c>
      <c r="B9" s="1">
        <v>4855</v>
      </c>
      <c r="C9" s="1">
        <v>18842</v>
      </c>
      <c r="D9" s="10">
        <v>12540.67</v>
      </c>
      <c r="E9" s="1">
        <v>734442</v>
      </c>
      <c r="F9" s="1">
        <v>1891.992</v>
      </c>
      <c r="G9" s="1">
        <v>2397.366</v>
      </c>
      <c r="H9" s="2">
        <f t="shared" si="0"/>
        <v>78.919614276668653</v>
      </c>
      <c r="I9" s="2">
        <v>3408.8820000000001</v>
      </c>
      <c r="J9" s="2"/>
      <c r="K9" s="13">
        <v>3408.8820000000001</v>
      </c>
      <c r="L9" s="2">
        <v>170.27910836999999</v>
      </c>
      <c r="M9" s="2">
        <v>8.7212529340000007</v>
      </c>
      <c r="N9" s="2">
        <v>0</v>
      </c>
      <c r="O9" s="13">
        <v>179.00036130399999</v>
      </c>
      <c r="P9" s="2">
        <v>270.86664961299999</v>
      </c>
      <c r="Q9" s="13">
        <f t="shared" si="1"/>
        <v>66.084311804257283</v>
      </c>
    </row>
    <row r="10" spans="1:17" x14ac:dyDescent="0.25">
      <c r="A10" s="15">
        <v>44774</v>
      </c>
      <c r="B10" s="3">
        <v>4677</v>
      </c>
      <c r="C10" s="3">
        <v>17751.09</v>
      </c>
      <c r="D10" s="11">
        <v>12064.02</v>
      </c>
      <c r="E10" s="3">
        <v>715522</v>
      </c>
      <c r="F10" s="3">
        <v>1840.442</v>
      </c>
      <c r="G10" s="3">
        <v>2337.6219999999998</v>
      </c>
      <c r="H10" s="4">
        <f t="shared" si="0"/>
        <v>78.731377442546318</v>
      </c>
      <c r="I10" s="4">
        <v>3124.2249999999999</v>
      </c>
      <c r="J10" s="4"/>
      <c r="K10" s="4">
        <v>3124.2249999999999</v>
      </c>
      <c r="L10" s="4">
        <v>165.64044140999999</v>
      </c>
      <c r="M10" s="4">
        <v>7.7428265620000003</v>
      </c>
      <c r="N10" s="4">
        <v>0</v>
      </c>
      <c r="O10" s="4">
        <v>173.383267972</v>
      </c>
      <c r="P10" s="4">
        <v>264.08753652399997</v>
      </c>
      <c r="Q10" s="4">
        <f t="shared" si="1"/>
        <v>65.653710983154681</v>
      </c>
    </row>
    <row r="11" spans="1:17" x14ac:dyDescent="0.25">
      <c r="A11" s="16">
        <v>44805</v>
      </c>
      <c r="B11" s="1">
        <v>4407</v>
      </c>
      <c r="C11" s="1">
        <v>16692.2</v>
      </c>
      <c r="D11" s="10">
        <v>11308.12</v>
      </c>
      <c r="E11" s="1">
        <v>680361</v>
      </c>
      <c r="F11" s="1">
        <v>1732.7919999999999</v>
      </c>
      <c r="G11" s="1">
        <v>2159.6460000000002</v>
      </c>
      <c r="H11" s="2">
        <f t="shared" si="0"/>
        <v>80.235001477093931</v>
      </c>
      <c r="I11" s="2">
        <v>3138.8670000000002</v>
      </c>
      <c r="J11" s="2"/>
      <c r="K11" s="13">
        <v>3138.8670000000002</v>
      </c>
      <c r="L11" s="2">
        <v>155.95139186999998</v>
      </c>
      <c r="M11" s="2">
        <v>7.5093971809999989</v>
      </c>
      <c r="N11" s="2">
        <v>0</v>
      </c>
      <c r="O11" s="13">
        <v>163.46078905100001</v>
      </c>
      <c r="P11" s="2">
        <v>248.27978228499992</v>
      </c>
      <c r="Q11" s="13">
        <f t="shared" si="1"/>
        <v>65.83733381212798</v>
      </c>
    </row>
    <row r="12" spans="1:17" x14ac:dyDescent="0.25">
      <c r="A12" s="15">
        <v>44835</v>
      </c>
      <c r="B12" s="3">
        <v>4462</v>
      </c>
      <c r="C12" s="3">
        <v>16576</v>
      </c>
      <c r="D12" s="11">
        <v>11150.84</v>
      </c>
      <c r="E12" s="3">
        <v>706708</v>
      </c>
      <c r="F12" s="3">
        <v>1757.7940000000001</v>
      </c>
      <c r="G12" s="3">
        <v>2149.5749999999998</v>
      </c>
      <c r="H12" s="4">
        <f t="shared" si="0"/>
        <v>81.774025097984492</v>
      </c>
      <c r="I12" s="4">
        <v>3053.0930000000003</v>
      </c>
      <c r="J12" s="4"/>
      <c r="K12" s="4">
        <v>3053.0930000000003</v>
      </c>
      <c r="L12" s="4">
        <v>158.17794875999991</v>
      </c>
      <c r="M12" s="4">
        <v>7.4896973230000015</v>
      </c>
      <c r="N12" s="4">
        <v>0</v>
      </c>
      <c r="O12" s="4">
        <v>165.66764608299991</v>
      </c>
      <c r="P12" s="4">
        <v>246.11350885999994</v>
      </c>
      <c r="Q12" s="4">
        <f t="shared" si="1"/>
        <v>67.313511903663468</v>
      </c>
    </row>
    <row r="13" spans="1:17" x14ac:dyDescent="0.25">
      <c r="A13" s="16">
        <v>44866</v>
      </c>
      <c r="B13" s="1">
        <v>4683</v>
      </c>
      <c r="C13" s="1">
        <v>17197.07</v>
      </c>
      <c r="D13" s="10">
        <v>11381.01</v>
      </c>
      <c r="E13" s="1">
        <v>749298</v>
      </c>
      <c r="F13" s="1">
        <v>1827.8489999999999</v>
      </c>
      <c r="G13" s="1">
        <v>2198.9110000000001</v>
      </c>
      <c r="H13" s="2">
        <f t="shared" si="0"/>
        <v>83.125192424795728</v>
      </c>
      <c r="I13" s="2">
        <v>2812.4539999999997</v>
      </c>
      <c r="J13" s="2">
        <v>0</v>
      </c>
      <c r="K13" s="13">
        <v>2812.4539999999997</v>
      </c>
      <c r="L13" s="2">
        <v>164.5070848199999</v>
      </c>
      <c r="M13" s="2">
        <v>6.8226120689999981</v>
      </c>
      <c r="N13" s="2">
        <v>0</v>
      </c>
      <c r="O13" s="13">
        <v>171.32969688899991</v>
      </c>
      <c r="P13" s="2">
        <v>249.58879664400001</v>
      </c>
      <c r="Q13" s="13">
        <f t="shared" si="1"/>
        <v>68.644786622123647</v>
      </c>
    </row>
    <row r="14" spans="1:17" x14ac:dyDescent="0.25">
      <c r="A14" s="15">
        <v>44896</v>
      </c>
      <c r="B14" s="3">
        <v>4892</v>
      </c>
      <c r="C14" s="3">
        <v>18209.516666666666</v>
      </c>
      <c r="D14" s="11">
        <v>11845.51</v>
      </c>
      <c r="E14" s="3">
        <v>813167</v>
      </c>
      <c r="F14" s="3">
        <v>1978.2639999999999</v>
      </c>
      <c r="G14" s="3">
        <v>2290.355</v>
      </c>
      <c r="H14" s="4">
        <f t="shared" si="0"/>
        <v>86.373684428833073</v>
      </c>
      <c r="I14" s="4">
        <v>2753.7029999999991</v>
      </c>
      <c r="J14" s="12"/>
      <c r="K14" s="4">
        <v>2753.7029999999991</v>
      </c>
      <c r="L14" s="4">
        <v>178.0435095299998</v>
      </c>
      <c r="M14" s="4">
        <v>6.5602791220000016</v>
      </c>
      <c r="N14" s="4">
        <v>0</v>
      </c>
      <c r="O14" s="4">
        <v>184.60378865199982</v>
      </c>
      <c r="P14" s="4">
        <v>260.10766456000016</v>
      </c>
      <c r="Q14" s="4">
        <f t="shared" si="1"/>
        <v>70.972068033549419</v>
      </c>
    </row>
    <row r="15" spans="1:17" x14ac:dyDescent="0.25">
      <c r="A15" s="16">
        <v>44927</v>
      </c>
      <c r="B15" s="1">
        <v>4891</v>
      </c>
      <c r="C15" s="1">
        <v>18903.05</v>
      </c>
      <c r="D15" s="8">
        <v>11860.23</v>
      </c>
      <c r="E15" s="1">
        <v>816888</v>
      </c>
      <c r="F15" s="1">
        <v>1981.2650000000001</v>
      </c>
      <c r="G15" s="1">
        <v>2320.4780000000001</v>
      </c>
      <c r="H15" s="2">
        <f t="shared" si="0"/>
        <v>85.381761861133782</v>
      </c>
      <c r="I15" s="2">
        <v>2409.2849999999999</v>
      </c>
      <c r="J15" s="2"/>
      <c r="K15" s="13">
        <v>2409.2849999999999</v>
      </c>
      <c r="L15" s="2">
        <v>175.70569041000005</v>
      </c>
      <c r="M15" s="2">
        <v>5.6825196710000014</v>
      </c>
      <c r="N15" s="2">
        <v>0</v>
      </c>
      <c r="O15" s="13">
        <v>181.38821008100007</v>
      </c>
      <c r="P15" s="2">
        <v>256.81041206399993</v>
      </c>
      <c r="Q15" s="13">
        <f t="shared" si="1"/>
        <v>70.631174422864191</v>
      </c>
    </row>
    <row r="16" spans="1:17" x14ac:dyDescent="0.25">
      <c r="A16" s="15">
        <v>44958</v>
      </c>
      <c r="B16" s="3">
        <v>4438</v>
      </c>
      <c r="C16" s="3">
        <v>16303.916666666701</v>
      </c>
      <c r="D16" s="3">
        <v>10771.75</v>
      </c>
      <c r="E16" s="3">
        <v>762694</v>
      </c>
      <c r="F16" s="3">
        <v>1860.0619999999999</v>
      </c>
      <c r="G16" s="3">
        <v>2156.3510000000001</v>
      </c>
      <c r="H16" s="4">
        <f t="shared" si="0"/>
        <v>86.259704472973084</v>
      </c>
      <c r="I16" s="4">
        <v>2675.703</v>
      </c>
      <c r="J16" s="4"/>
      <c r="K16" s="4">
        <v>2675.703</v>
      </c>
      <c r="L16" s="4">
        <v>165.11449999999999</v>
      </c>
      <c r="M16" s="4">
        <v>6.6460319999999999</v>
      </c>
      <c r="N16" s="4">
        <v>0</v>
      </c>
      <c r="O16" s="4">
        <v>171.76053200000001</v>
      </c>
      <c r="P16" s="4">
        <v>231.23410000000001</v>
      </c>
      <c r="Q16" s="4">
        <f t="shared" si="1"/>
        <v>74.279931895857914</v>
      </c>
    </row>
    <row r="17" spans="1:17" x14ac:dyDescent="0.25">
      <c r="A17" s="16">
        <v>44986</v>
      </c>
      <c r="B17" s="1">
        <v>5053</v>
      </c>
      <c r="C17" s="1">
        <v>18706.316666666666</v>
      </c>
      <c r="D17" s="1">
        <v>12417.591</v>
      </c>
      <c r="E17" s="1">
        <v>833843</v>
      </c>
      <c r="F17" s="1">
        <v>2044.0170000000001</v>
      </c>
      <c r="G17" s="1">
        <v>2490.6909999999998</v>
      </c>
      <c r="H17" s="2">
        <f t="shared" ref="H17:H18" si="2">F17/G17*100</f>
        <v>82.066261932933486</v>
      </c>
      <c r="I17" s="2">
        <v>3290.4847599999998</v>
      </c>
      <c r="K17" s="13">
        <v>3290.4847599999998</v>
      </c>
      <c r="L17" s="2">
        <v>181.17785119999999</v>
      </c>
      <c r="M17" s="2">
        <v>7.9939999999999998</v>
      </c>
      <c r="N17" s="2">
        <v>0</v>
      </c>
      <c r="O17" s="13">
        <v>189.17185119999999</v>
      </c>
      <c r="P17" s="2">
        <v>267.87676181300003</v>
      </c>
      <c r="Q17" s="13">
        <f t="shared" ref="Q17:Q18" si="3">O17/P17*100</f>
        <v>70.618985357176101</v>
      </c>
    </row>
    <row r="18" spans="1:17" x14ac:dyDescent="0.25">
      <c r="A18" s="17" t="s">
        <v>22</v>
      </c>
      <c r="B18" s="5">
        <f>SUM(B6:B17)</f>
        <v>54192</v>
      </c>
      <c r="C18" s="5">
        <f t="shared" ref="C18:N18" si="4">SUM(C6:C17)</f>
        <v>203630.36</v>
      </c>
      <c r="D18" s="5">
        <f t="shared" si="4"/>
        <v>135127.98199999996</v>
      </c>
      <c r="E18" s="5">
        <f t="shared" si="4"/>
        <v>8556558</v>
      </c>
      <c r="F18" s="5">
        <f t="shared" si="4"/>
        <v>21331.96</v>
      </c>
      <c r="G18" s="5">
        <f t="shared" si="4"/>
        <v>26166.550999999996</v>
      </c>
      <c r="H18" s="6">
        <f t="shared" si="2"/>
        <v>81.523774378977194</v>
      </c>
      <c r="I18" s="6">
        <f t="shared" si="4"/>
        <v>35949.387759999998</v>
      </c>
      <c r="J18" s="6">
        <f>SUM(J6:J16)</f>
        <v>0</v>
      </c>
      <c r="K18" s="6">
        <f t="shared" si="4"/>
        <v>35949.387759999998</v>
      </c>
      <c r="L18" s="6">
        <f>SUM(L6:L17)</f>
        <v>1912.1714518599993</v>
      </c>
      <c r="M18" s="6">
        <f>SUM(M6:M17)</f>
        <v>88.475578760000005</v>
      </c>
      <c r="N18" s="6">
        <f t="shared" si="4"/>
        <v>0</v>
      </c>
      <c r="O18" s="14">
        <f>SUM(O6:O17)</f>
        <v>2000.6470306199997</v>
      </c>
      <c r="P18" s="6">
        <f>SUM(P6:P17)</f>
        <v>2938.9781770550003</v>
      </c>
      <c r="Q18" s="14">
        <f t="shared" si="3"/>
        <v>68.072878058072064</v>
      </c>
    </row>
    <row r="19" spans="1:17" ht="15" customHeight="1" x14ac:dyDescent="0.25">
      <c r="A19" s="20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2022-04-26T05:39:08Z</cp:lastPrinted>
  <dcterms:created xsi:type="dcterms:W3CDTF">2018-10-29T04:00:09Z</dcterms:created>
  <dcterms:modified xsi:type="dcterms:W3CDTF">2023-09-20T07:32:22Z</dcterms:modified>
</cp:coreProperties>
</file>