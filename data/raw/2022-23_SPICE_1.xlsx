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OFFICE\Yearly publication\2022-23\FINALupdated 26-09-2023\Annual tables 22_23\SPICEJET\"/>
    </mc:Choice>
  </mc:AlternateContent>
  <bookViews>
    <workbookView xWindow="0" yWindow="0" windowWidth="24000" windowHeight="9735"/>
  </bookViews>
  <sheets>
    <sheet name="SPICEJET" sheetId="13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6" i="13" l="1"/>
  <c r="H6" i="13"/>
  <c r="Q17" i="13" l="1"/>
  <c r="Q7" i="13" l="1"/>
  <c r="Q8" i="13"/>
  <c r="Q9" i="13"/>
  <c r="Q10" i="13"/>
  <c r="Q11" i="13"/>
  <c r="Q12" i="13"/>
  <c r="Q13" i="13"/>
  <c r="Q14" i="13"/>
  <c r="Q15" i="13"/>
  <c r="Q16" i="13"/>
  <c r="H7" i="13"/>
  <c r="H8" i="13"/>
  <c r="H9" i="13"/>
  <c r="H10" i="13"/>
  <c r="H11" i="13"/>
  <c r="H12" i="13"/>
  <c r="H13" i="13"/>
  <c r="H14" i="13"/>
  <c r="H15" i="13"/>
  <c r="H16" i="13"/>
  <c r="H17" i="13"/>
  <c r="I18" i="13" l="1"/>
  <c r="C18" i="13"/>
  <c r="B18" i="13"/>
  <c r="P18" i="13"/>
  <c r="O18" i="13"/>
  <c r="M18" i="13"/>
  <c r="L18" i="13"/>
  <c r="K18" i="13"/>
  <c r="G18" i="13"/>
  <c r="F18" i="13"/>
  <c r="E18" i="13"/>
  <c r="D18" i="13"/>
  <c r="H18" i="13" l="1"/>
  <c r="Q18" i="13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<sst xmlns="http://schemas.openxmlformats.org/spreadsheetml/2006/main" count="26" uniqueCount="24">
  <si>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</si>
  <si>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</si>
  <si>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</si>
  <si>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</si>
  <si>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</si>
  <si>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</si>
  <si>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</si>
  <si>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</si>
  <si>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</si>
  <si>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</si>
  <si>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</si>
  <si>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</si>
  <si>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</si>
  <si>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</si>
  <si>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</si>
  <si>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</si>
  <si>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</si>
  <si>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</si>
  <si>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</si>
  <si>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1.01 (स्पाइसजेट) </t>
  </si>
  <si>
    <t>Table 1.01 (SPICEJET)</t>
  </si>
  <si>
    <t>SOURCE:-  ICAO ATR FORM 'A' FURNISHED BY SPICEJET</t>
  </si>
  <si>
    <t>2022-23</t>
  </si>
  <si>
    <t>MONTHLY TRAFFIC AND OPERATING STATISTICS OFSPICEJET ON SCHEDULED DOMESTIC SERVICES DURING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</si>
</sst>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[$-1010409]m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6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 wrapText="1"/>
    </xf>
    <xf numFmtId="166" fontId="0" fillId="5" borderId="1" xfId="1" applyNumberFormat="1" applyFont="1" applyFill="1" applyBorder="1" applyAlignment="1">
      <alignment horizontal="right" vertical="center"/>
    </xf>
    <xf numFmtId="168" fontId="3" fillId="4" borderId="1" xfId="3" applyNumberFormat="1" applyBorder="1" applyAlignment="1">
      <alignment horizontal="right" vertical="center"/>
    </xf>
    <xf numFmtId="168" fontId="0" fillId="0" borderId="1" xfId="1" applyNumberFormat="1" applyFont="1" applyBorder="1" applyAlignment="1">
      <alignment horizontal="right" vertical="center"/>
    </xf>
    <xf numFmtId="168" fontId="2" fillId="3" borderId="1" xfId="2" applyNumberFormat="1" applyFont="1" applyBorder="1" applyAlignment="1" applyProtection="1">
      <alignment horizontal="center" vertical="center" textRotation="90" wrapText="1"/>
    </xf>
    <xf numFmtId="0" fontId="1" fillId="2" borderId="0" xfId="0" applyFont="1" applyFill="1" applyBorder="1" applyAlignment="1" applyProtection="1">
      <alignment horizontal="left" vertical="center" wrapText="1"/>
    </xf>
    <xf numFmtId="168" fontId="2" fillId="3" borderId="1" xfId="2" applyNumberFormat="1" applyFont="1" applyBorder="1" applyAlignment="1" applyProtection="1">
      <alignment horizontal="center" vertical="center" textRotation="90" wrapText="1"/>
    </xf>
    <xf numFmtId="168" fontId="2" fillId="3" borderId="1" xfId="2" applyNumberFormat="1" applyFont="1" applyBorder="1" applyAlignment="1">
      <alignment vertical="center"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  <xf numFmtId="168" fontId="2" fillId="3" borderId="1" xfId="2" applyNumberFormat="1" applyFont="1" applyBorder="1" applyAlignment="1" applyProtection="1">
      <alignment horizontal="center" vertical="center" wrapText="1"/>
    </xf>
    <xf numFmtId="168" fontId="2" fillId="3" borderId="1" xfId="2" applyNumberFormat="1" applyFont="1" applyBorder="1" applyAlignment="1">
      <alignment vertical="center"/>
    </xf>
    <xf numFmtId="168" fontId="2" fillId="3" borderId="1" xfId="2" applyNumberFormat="1" applyFont="1" applyBorder="1" applyAlignment="1">
      <alignment horizontal="center" vertical="center" textRotation="90"/>
    </xf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zoomScale="85" zoomScaleNormal="85" zoomScaleSheetLayoutView="130" workbookViewId="0">
      <selection activeCell="A21" sqref="A21:XFD21"/>
    </sheetView>
  </sheetViews>
  <sheetFormatPr defaultRowHeight="15" x14ac:dyDescent="0.25"/>
  <cols>
    <col min="1" max="1" width="14.140625" customWidth="1"/>
    <col min="2" max="2" width="8" customWidth="1"/>
    <col min="3" max="4" width="8.42578125" customWidth="1"/>
    <col min="5" max="5" width="11.5703125" customWidth="1"/>
    <col min="6" max="7" width="10.140625" customWidth="1"/>
    <col min="8" max="8" width="6.42578125" customWidth="1"/>
    <col min="9" max="9" width="9.5703125" customWidth="1"/>
    <col min="10" max="10" width="4.85546875" customWidth="1"/>
    <col min="11" max="11" width="10.42578125" customWidth="1"/>
    <col min="12" max="12" width="9.140625" customWidth="1"/>
    <col min="13" max="13" width="8.7109375" customWidth="1"/>
    <col min="14" max="14" width="5.5703125" customWidth="1"/>
    <col min="15" max="15" width="9.42578125" customWidth="1"/>
    <col min="16" max="16" width="11" customWidth="1"/>
    <col min="17" max="17" width="6.5703125" customWidth="1"/>
  </cols>
  <sheetData>
    <row r="1" spans="1:17" x14ac:dyDescent="0.25">
      <c r="A1" s="18" t="s">
        <v>19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x14ac:dyDescent="0.25">
      <c r="A2" s="19" t="s">
        <v>20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x14ac:dyDescent="0.25">
      <c r="A3" s="21" t="s">
        <v>23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30" customHeight="1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3" t="s">
        <v>3</v>
      </c>
      <c r="H4" s="13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3" t="s">
        <v>7</v>
      </c>
      <c r="Q4" s="13" t="s">
        <v>8</v>
      </c>
    </row>
    <row r="5" spans="1:17" ht="124.5" customHeight="1" x14ac:dyDescent="0.25">
      <c r="A5" s="23"/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14"/>
      <c r="H5" s="25"/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15</v>
      </c>
      <c r="O5" s="11" t="s">
        <v>16</v>
      </c>
      <c r="P5" s="14"/>
      <c r="Q5" s="14"/>
    </row>
    <row r="6" spans="1:17" x14ac:dyDescent="0.25">
      <c r="A6" s="9">
        <v>44652</v>
      </c>
      <c r="B6" s="2">
        <v>8709</v>
      </c>
      <c r="C6" s="2">
        <v>13350.9</v>
      </c>
      <c r="D6" s="2">
        <v>7812.2839999999997</v>
      </c>
      <c r="E6" s="2">
        <v>1000901</v>
      </c>
      <c r="F6" s="2">
        <v>1011.623065</v>
      </c>
      <c r="G6" s="2">
        <v>1178.0592549999999</v>
      </c>
      <c r="H6" s="5">
        <f t="shared" ref="H6:H18" si="0">F6/G6*100</f>
        <v>85.87200182897422</v>
      </c>
      <c r="I6" s="5">
        <v>4560.8275199999871</v>
      </c>
      <c r="J6" s="5"/>
      <c r="K6" s="5">
        <v>4560.8275199999871</v>
      </c>
      <c r="L6" s="5">
        <v>75.871729875000028</v>
      </c>
      <c r="M6" s="5">
        <v>5.4220501219100035</v>
      </c>
      <c r="N6" s="5">
        <v>0</v>
      </c>
      <c r="O6" s="5">
        <v>81.293779996910033</v>
      </c>
      <c r="P6" s="5">
        <v>107.677645</v>
      </c>
      <c r="Q6" s="5">
        <f t="shared" ref="Q6" si="1">O6/P6*100</f>
        <v>75.4973606609896</v>
      </c>
    </row>
    <row r="7" spans="1:17" x14ac:dyDescent="0.25">
      <c r="A7" s="10">
        <v>44682</v>
      </c>
      <c r="B7" s="3">
        <v>9675</v>
      </c>
      <c r="C7" s="3">
        <v>14959.616666666667</v>
      </c>
      <c r="D7" s="3">
        <v>8731.884</v>
      </c>
      <c r="E7" s="3">
        <v>1152182</v>
      </c>
      <c r="F7" s="3">
        <v>1181.8308419999998</v>
      </c>
      <c r="G7" s="3">
        <v>1326.543901</v>
      </c>
      <c r="H7" s="6">
        <f t="shared" si="0"/>
        <v>89.090970989281999</v>
      </c>
      <c r="I7" s="6">
        <v>4537.1880299999975</v>
      </c>
      <c r="J7" s="6"/>
      <c r="K7" s="6">
        <v>4537.1880299999975</v>
      </c>
      <c r="L7" s="6">
        <v>88.637313150000026</v>
      </c>
      <c r="M7" s="6">
        <v>5.5788537083900032</v>
      </c>
      <c r="N7" s="6">
        <v>0</v>
      </c>
      <c r="O7" s="6">
        <v>94.216166858390025</v>
      </c>
      <c r="P7" s="6">
        <v>121.2115285</v>
      </c>
      <c r="Q7" s="6">
        <f t="shared" ref="Q7:Q18" si="2">O7/P7*100</f>
        <v>77.728717741885433</v>
      </c>
    </row>
    <row r="8" spans="1:17" x14ac:dyDescent="0.25">
      <c r="A8" s="9">
        <v>44713</v>
      </c>
      <c r="B8" s="2">
        <v>8922</v>
      </c>
      <c r="C8" s="2">
        <v>13806.85</v>
      </c>
      <c r="D8" s="2">
        <v>7998.93</v>
      </c>
      <c r="E8" s="2">
        <v>1001649</v>
      </c>
      <c r="F8" s="2">
        <v>1013.6249939999999</v>
      </c>
      <c r="G8" s="2">
        <v>1205.972812</v>
      </c>
      <c r="H8" s="5">
        <f t="shared" si="0"/>
        <v>84.050401792971769</v>
      </c>
      <c r="I8" s="5">
        <v>4329.3436099999999</v>
      </c>
      <c r="J8" s="5"/>
      <c r="K8" s="8">
        <v>4329.3436099999999</v>
      </c>
      <c r="L8" s="5">
        <v>76.021874549999993</v>
      </c>
      <c r="M8" s="5">
        <v>5.3186441493100007</v>
      </c>
      <c r="N8" s="5">
        <v>0</v>
      </c>
      <c r="O8" s="8">
        <v>81.340518699309996</v>
      </c>
      <c r="P8" s="5">
        <v>110.5403745</v>
      </c>
      <c r="Q8" s="5">
        <f t="shared" si="2"/>
        <v>73.584442849259574</v>
      </c>
    </row>
    <row r="9" spans="1:17" x14ac:dyDescent="0.25">
      <c r="A9" s="10">
        <v>44743</v>
      </c>
      <c r="B9" s="3">
        <v>6605</v>
      </c>
      <c r="C9" s="3">
        <v>10432.283333333333</v>
      </c>
      <c r="D9" s="3">
        <v>6115.7169999999996</v>
      </c>
      <c r="E9" s="3">
        <v>775824</v>
      </c>
      <c r="F9" s="3">
        <v>793.60719400000005</v>
      </c>
      <c r="G9" s="3">
        <v>937.03389099999993</v>
      </c>
      <c r="H9" s="6">
        <f t="shared" si="0"/>
        <v>84.693542210417249</v>
      </c>
      <c r="I9" s="6">
        <v>4133.8905200000008</v>
      </c>
      <c r="J9" s="6"/>
      <c r="K9" s="6">
        <v>4133.8905200000008</v>
      </c>
      <c r="L9" s="6">
        <v>59.520539549999917</v>
      </c>
      <c r="M9" s="6">
        <v>5.0684545364999973</v>
      </c>
      <c r="N9" s="6">
        <v>0</v>
      </c>
      <c r="O9" s="6">
        <v>64.588994086499909</v>
      </c>
      <c r="P9" s="6">
        <v>86.150339000000002</v>
      </c>
      <c r="Q9" s="6">
        <f t="shared" si="2"/>
        <v>74.972420116071632</v>
      </c>
    </row>
    <row r="10" spans="1:17" x14ac:dyDescent="0.25">
      <c r="A10" s="9">
        <v>44774</v>
      </c>
      <c r="B10" s="2">
        <v>6850</v>
      </c>
      <c r="C10" s="2">
        <v>10655.466666666667</v>
      </c>
      <c r="D10" s="2">
        <v>6253.6440000000002</v>
      </c>
      <c r="E10" s="2">
        <v>798347</v>
      </c>
      <c r="F10" s="2">
        <v>809.04406799999992</v>
      </c>
      <c r="G10" s="2">
        <v>956.49149699999998</v>
      </c>
      <c r="H10" s="5">
        <f t="shared" si="0"/>
        <v>84.584554126987697</v>
      </c>
      <c r="I10" s="5">
        <v>3885.3024700000001</v>
      </c>
      <c r="J10" s="5"/>
      <c r="K10" s="8">
        <v>3885.3024700000001</v>
      </c>
      <c r="L10" s="5">
        <v>60.678305099999953</v>
      </c>
      <c r="M10" s="5">
        <v>4.7869991046399969</v>
      </c>
      <c r="N10" s="5">
        <v>0</v>
      </c>
      <c r="O10" s="8">
        <v>65.465304204639949</v>
      </c>
      <c r="P10" s="5">
        <v>89.070605</v>
      </c>
      <c r="Q10" s="5">
        <f t="shared" si="2"/>
        <v>73.498214371217017</v>
      </c>
    </row>
    <row r="11" spans="1:17" x14ac:dyDescent="0.25">
      <c r="A11" s="10">
        <v>44805</v>
      </c>
      <c r="B11" s="3">
        <v>6233</v>
      </c>
      <c r="C11" s="3">
        <v>5774.4549999999999</v>
      </c>
      <c r="D11" s="3">
        <v>9703.9666666666672</v>
      </c>
      <c r="E11" s="3">
        <v>753485</v>
      </c>
      <c r="F11" s="3">
        <v>766.96857899999998</v>
      </c>
      <c r="G11" s="3">
        <v>894.26931200000001</v>
      </c>
      <c r="H11" s="6">
        <f t="shared" si="0"/>
        <v>85.764832663742354</v>
      </c>
      <c r="I11" s="6">
        <v>3639.4234700000047</v>
      </c>
      <c r="J11" s="6"/>
      <c r="K11" s="6">
        <v>3639.4234700000047</v>
      </c>
      <c r="L11" s="6">
        <v>57.522643425000034</v>
      </c>
      <c r="M11" s="6">
        <v>4.3679168830899995</v>
      </c>
      <c r="N11" s="6">
        <v>0</v>
      </c>
      <c r="O11" s="6">
        <v>61.890560308090031</v>
      </c>
      <c r="P11" s="6">
        <v>82.572473499999987</v>
      </c>
      <c r="Q11" s="6">
        <f t="shared" si="2"/>
        <v>74.953017252280858</v>
      </c>
    </row>
    <row r="12" spans="1:17" x14ac:dyDescent="0.25">
      <c r="A12" s="9">
        <v>44835</v>
      </c>
      <c r="B12" s="2">
        <v>6549</v>
      </c>
      <c r="C12" s="2">
        <v>10447.666666666666</v>
      </c>
      <c r="D12" s="2">
        <v>6344.91</v>
      </c>
      <c r="E12" s="2">
        <v>828531</v>
      </c>
      <c r="F12" s="2">
        <v>872.47167100000001</v>
      </c>
      <c r="G12" s="2">
        <v>990.30611499999998</v>
      </c>
      <c r="H12" s="5">
        <f t="shared" si="0"/>
        <v>88.101210099061149</v>
      </c>
      <c r="I12" s="5">
        <v>3204.7074300000086</v>
      </c>
      <c r="J12" s="5"/>
      <c r="K12" s="8">
        <v>3204.7074300000086</v>
      </c>
      <c r="L12" s="5">
        <v>65.435375324999995</v>
      </c>
      <c r="M12" s="5">
        <v>3.8926380401299996</v>
      </c>
      <c r="N12" s="5">
        <v>0</v>
      </c>
      <c r="O12" s="8">
        <v>69.328013365130005</v>
      </c>
      <c r="P12" s="5">
        <v>92.314650999999998</v>
      </c>
      <c r="Q12" s="5">
        <f t="shared" si="2"/>
        <v>75.099686359784869</v>
      </c>
    </row>
    <row r="13" spans="1:17" x14ac:dyDescent="0.25">
      <c r="A13" s="10">
        <v>44866</v>
      </c>
      <c r="B13" s="3">
        <v>6337</v>
      </c>
      <c r="C13" s="3">
        <v>9938.6</v>
      </c>
      <c r="D13" s="3">
        <v>6096.0339999999997</v>
      </c>
      <c r="E13" s="3">
        <v>875668</v>
      </c>
      <c r="F13" s="3">
        <v>917.841409</v>
      </c>
      <c r="G13" s="3">
        <v>998.10546099999999</v>
      </c>
      <c r="H13" s="6">
        <f t="shared" si="0"/>
        <v>91.958359598635639</v>
      </c>
      <c r="I13" s="6">
        <v>3265.3081299999985</v>
      </c>
      <c r="J13" s="6"/>
      <c r="K13" s="6">
        <v>3265.3081299999985</v>
      </c>
      <c r="L13" s="6">
        <v>68.83810567499998</v>
      </c>
      <c r="M13" s="6">
        <v>4.058221353609996</v>
      </c>
      <c r="N13" s="6">
        <v>0</v>
      </c>
      <c r="O13" s="6">
        <v>72.896327028609988</v>
      </c>
      <c r="P13" s="6">
        <v>94.261119000000008</v>
      </c>
      <c r="Q13" s="6">
        <f t="shared" si="2"/>
        <v>77.334459639302594</v>
      </c>
    </row>
    <row r="14" spans="1:17" x14ac:dyDescent="0.25">
      <c r="A14" s="9">
        <v>44896</v>
      </c>
      <c r="B14" s="2">
        <v>6838</v>
      </c>
      <c r="C14" s="2">
        <v>6496.2790000000005</v>
      </c>
      <c r="D14" s="2">
        <v>10585.4</v>
      </c>
      <c r="E14" s="2">
        <v>963522</v>
      </c>
      <c r="F14" s="2">
        <v>999.96866799999998</v>
      </c>
      <c r="G14" s="2">
        <v>1078.5503550000001</v>
      </c>
      <c r="H14" s="5">
        <f t="shared" si="0"/>
        <v>92.714138321339661</v>
      </c>
      <c r="I14" s="5">
        <v>3580.5627099999915</v>
      </c>
      <c r="J14" s="5"/>
      <c r="K14" s="8">
        <v>3580.5627099999915</v>
      </c>
      <c r="L14" s="5">
        <v>74.99765010000003</v>
      </c>
      <c r="M14" s="5">
        <v>4.4190742652599964</v>
      </c>
      <c r="N14" s="5">
        <v>0</v>
      </c>
      <c r="O14" s="8">
        <v>79.416724365260023</v>
      </c>
      <c r="P14" s="5">
        <v>101.60700750000001</v>
      </c>
      <c r="Q14" s="5">
        <f t="shared" si="2"/>
        <v>78.160676432932064</v>
      </c>
    </row>
    <row r="15" spans="1:17" x14ac:dyDescent="0.25">
      <c r="A15" s="10">
        <v>44927</v>
      </c>
      <c r="B15" s="3">
        <v>6542</v>
      </c>
      <c r="C15" s="3">
        <v>10332.866666666667</v>
      </c>
      <c r="D15" s="3">
        <v>6279.0169999999998</v>
      </c>
      <c r="E15" s="3">
        <v>913814</v>
      </c>
      <c r="F15" s="3">
        <v>948.36189999999999</v>
      </c>
      <c r="G15" s="3">
        <v>1042.236609</v>
      </c>
      <c r="H15" s="6">
        <f t="shared" si="0"/>
        <v>90.992956091796614</v>
      </c>
      <c r="I15" s="6">
        <v>3366.7008700000024</v>
      </c>
      <c r="J15" s="6"/>
      <c r="K15" s="6">
        <v>3366.7008700000024</v>
      </c>
      <c r="L15" s="6">
        <v>71.127142499999962</v>
      </c>
      <c r="M15" s="6">
        <v>4.1047439910600003</v>
      </c>
      <c r="N15" s="6">
        <v>0</v>
      </c>
      <c r="O15" s="6">
        <v>75.231886491059967</v>
      </c>
      <c r="P15" s="6">
        <v>97.776557499999996</v>
      </c>
      <c r="Q15" s="6">
        <f t="shared" si="2"/>
        <v>76.942662346299088</v>
      </c>
    </row>
    <row r="16" spans="1:17" x14ac:dyDescent="0.25">
      <c r="A16" s="9">
        <v>44958</v>
      </c>
      <c r="B16" s="2">
        <v>5744</v>
      </c>
      <c r="C16" s="2">
        <v>9171.7166666666672</v>
      </c>
      <c r="D16" s="2">
        <v>5647.1009999999997</v>
      </c>
      <c r="E16" s="2">
        <v>858261</v>
      </c>
      <c r="F16" s="2">
        <v>904.38780000000008</v>
      </c>
      <c r="G16" s="2">
        <v>960.708483</v>
      </c>
      <c r="H16" s="5">
        <f t="shared" si="0"/>
        <v>94.137588665384982</v>
      </c>
      <c r="I16" s="5">
        <v>3316.460230000002</v>
      </c>
      <c r="J16" s="5"/>
      <c r="K16" s="8">
        <v>3316.460230000002</v>
      </c>
      <c r="L16" s="5">
        <v>67.829085000000035</v>
      </c>
      <c r="M16" s="5">
        <v>4.1005864541900001</v>
      </c>
      <c r="N16" s="5">
        <v>0</v>
      </c>
      <c r="O16" s="8">
        <v>71.929671454190029</v>
      </c>
      <c r="P16" s="5">
        <v>89.976179999999999</v>
      </c>
      <c r="Q16" s="5">
        <f t="shared" si="2"/>
        <v>79.943015422737474</v>
      </c>
    </row>
    <row r="17" spans="1:17" x14ac:dyDescent="0.25">
      <c r="A17" s="10">
        <v>44986</v>
      </c>
      <c r="B17" s="3">
        <v>5801</v>
      </c>
      <c r="C17" s="3">
        <v>9348.15</v>
      </c>
      <c r="D17" s="3">
        <v>5707.3040000000001</v>
      </c>
      <c r="E17" s="3">
        <v>827166</v>
      </c>
      <c r="F17" s="3">
        <v>877.7927269999999</v>
      </c>
      <c r="G17" s="3">
        <v>950.60027200000002</v>
      </c>
      <c r="H17" s="6">
        <f t="shared" si="0"/>
        <v>92.340887421921536</v>
      </c>
      <c r="I17" s="6">
        <v>3085.4651799999983</v>
      </c>
      <c r="J17" s="6"/>
      <c r="K17" s="6">
        <v>3085.4651799999983</v>
      </c>
      <c r="L17" s="6">
        <v>65.834454524999984</v>
      </c>
      <c r="M17" s="6">
        <v>3.7932546005600027</v>
      </c>
      <c r="N17" s="6">
        <v>0</v>
      </c>
      <c r="O17" s="6">
        <v>69.627709125559974</v>
      </c>
      <c r="P17" s="6">
        <v>89.910691</v>
      </c>
      <c r="Q17" s="6">
        <f>O17/P17*100</f>
        <v>77.440967643725457</v>
      </c>
    </row>
    <row r="18" spans="1:17" x14ac:dyDescent="0.25">
      <c r="A18" s="1" t="s">
        <v>22</v>
      </c>
      <c r="B18" s="4">
        <f>SUM(B6:B17)</f>
        <v>84805</v>
      </c>
      <c r="C18" s="4">
        <f t="shared" ref="C18:G18" si="3">SUM(C6:C17)</f>
        <v>124714.85066666667</v>
      </c>
      <c r="D18" s="4">
        <f t="shared" si="3"/>
        <v>87276.191666666651</v>
      </c>
      <c r="E18" s="4">
        <f t="shared" si="3"/>
        <v>10749350</v>
      </c>
      <c r="F18" s="4">
        <f t="shared" si="3"/>
        <v>11097.522917</v>
      </c>
      <c r="G18" s="4">
        <f t="shared" si="3"/>
        <v>12518.877962999999</v>
      </c>
      <c r="H18" s="7">
        <f t="shared" si="0"/>
        <v>88.64630640061462</v>
      </c>
      <c r="I18" s="7">
        <f t="shared" ref="I18:P18" si="4">SUM(I6:I17)</f>
        <v>44905.180169999992</v>
      </c>
      <c r="J18" s="7"/>
      <c r="K18" s="7">
        <f t="shared" si="4"/>
        <v>44905.180169999992</v>
      </c>
      <c r="L18" s="7">
        <f t="shared" si="4"/>
        <v>832.31421877499986</v>
      </c>
      <c r="M18" s="7">
        <f t="shared" si="4"/>
        <v>54.911437208649993</v>
      </c>
      <c r="N18" s="7"/>
      <c r="O18" s="7">
        <f t="shared" si="4"/>
        <v>887.22565598364997</v>
      </c>
      <c r="P18" s="7">
        <f t="shared" si="4"/>
        <v>1163.0691715</v>
      </c>
      <c r="Q18" s="7">
        <f t="shared" si="2"/>
        <v>76.283137557450942</v>
      </c>
    </row>
    <row r="19" spans="1:17" x14ac:dyDescent="0.25">
      <c r="A19" s="15" t="s">
        <v>21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7"/>
    </row>
    <row r="20" spans="1:17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SPICEJET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2022-04-26T05:52:58Z</cp:lastPrinted>
  <dcterms:created xsi:type="dcterms:W3CDTF">2018-10-29T04:00:07Z</dcterms:created>
  <dcterms:modified xsi:type="dcterms:W3CDTF">2023-10-04T11:48:17Z</dcterms:modified>
</cp:coreProperties>
</file>