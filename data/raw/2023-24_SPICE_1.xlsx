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PICEJET\"/>
    </mc:Choice>
  </mc:AlternateContent>
  <bookViews>
    <workbookView xWindow="0" yWindow="0" windowWidth="24000" windowHeight="9735"/>
  </bookViews>
  <sheets>
    <sheet name="SPICEJET" sheetId="13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" i="13" l="1"/>
  <c r="H6" i="13"/>
  <c r="Q17" i="13" l="1"/>
  <c r="Q7" i="13" l="1"/>
  <c r="Q8" i="13"/>
  <c r="Q9" i="13"/>
  <c r="Q10" i="13"/>
  <c r="Q11" i="13"/>
  <c r="Q12" i="13"/>
  <c r="Q13" i="13"/>
  <c r="Q14" i="13"/>
  <c r="Q15" i="13"/>
  <c r="Q16" i="13"/>
  <c r="H7" i="13"/>
  <c r="H8" i="13"/>
  <c r="H9" i="13"/>
  <c r="H10" i="13"/>
  <c r="H11" i="13"/>
  <c r="H12" i="13"/>
  <c r="H13" i="13"/>
  <c r="H14" i="13"/>
  <c r="H15" i="13"/>
  <c r="H16" i="13"/>
  <c r="H17" i="13"/>
  <c r="I18" i="13" l="1"/>
  <c r="C18" i="13"/>
  <c r="B18" i="13"/>
  <c r="P18" i="13"/>
  <c r="O18" i="13"/>
  <c r="M18" i="13"/>
  <c r="L18" i="13"/>
  <c r="K18" i="13"/>
  <c r="G18" i="13"/>
  <c r="F18" i="13"/>
  <c r="E18" i="13"/>
  <c r="D18" i="13"/>
  <c r="H18" i="13" l="1"/>
  <c r="Q18" i="13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<sst xmlns="http://schemas.openxmlformats.org/spreadsheetml/2006/main" count="26" uniqueCount="24">
  <si>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</si>
  <si>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</si>
  <si>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</si>
  <si>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</si>
  <si>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</si>
  <si>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</si>
  <si>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</si>
  <si>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</si>
  <si>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</si>
  <si>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</si>
  <si>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</si>
  <si>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</si>
  <si>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</si>
  <si>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</si>
  <si>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</si>
  <si>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</si>
  <si>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</si>
  <si>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</si>
  <si>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</si>
  <si>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(स्पाइसजेट) </t>
  </si>
  <si>
    <t>Table 1.01 (SPICEJET)</t>
  </si>
  <si>
    <t>SOURCE:-  ICAO ATR FORM 'A' FURNISHED BY SPICEJET</t>
  </si>
  <si>
    <t>2023-24</t>
  </si>
  <si>
    <t>MONTHLY TRAFFIC AND OPERATING STATISTICS OFSPICEJET ON SCHEDULED DOMESTIC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</si>
</sst>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[$-1010409]mmmm/yy;@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6">
    <xf numFmtId="0" fontId="0" fillId="0" borderId="0" xfId="0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65" fontId="0" fillId="5" borderId="1" xfId="1" applyNumberFormat="1" applyFont="1" applyFill="1" applyBorder="1" applyAlignment="1">
      <alignment horizontal="right" vertical="center"/>
    </xf>
    <xf numFmtId="167" fontId="2" fillId="3" borderId="1" xfId="2" applyNumberFormat="1" applyFont="1" applyBorder="1" applyAlignment="1" applyProtection="1">
      <alignment horizontal="center" vertical="center" textRotation="90" wrapText="1"/>
    </xf>
    <xf numFmtId="0" fontId="1" fillId="2" borderId="0" xfId="0" applyFont="1" applyFill="1" applyBorder="1" applyAlignment="1" applyProtection="1">
      <alignment horizontal="left" vertical="center" wrapText="1"/>
    </xf>
    <xf numFmtId="168" fontId="3" fillId="4" borderId="1" xfId="3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67" fontId="2" fillId="3" borderId="1" xfId="2" applyNumberFormat="1" applyFont="1" applyBorder="1" applyAlignment="1" applyProtection="1">
      <alignment horizontal="center" vertical="center" textRotation="90" wrapText="1"/>
    </xf>
    <xf numFmtId="167" fontId="2" fillId="3" borderId="1" xfId="2" applyNumberFormat="1" applyFont="1" applyBorder="1" applyAlignment="1">
      <alignment vertical="center" textRotation="90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167" fontId="2" fillId="3" borderId="1" xfId="2" applyNumberFormat="1" applyFont="1" applyBorder="1" applyAlignment="1" applyProtection="1">
      <alignment horizontal="center" vertical="center" wrapText="1"/>
    </xf>
    <xf numFmtId="167" fontId="2" fillId="3" borderId="1" xfId="2" applyNumberFormat="1" applyFont="1" applyBorder="1" applyAlignment="1">
      <alignment vertical="center"/>
    </xf>
    <xf numFmtId="167" fontId="2" fillId="3" borderId="1" xfId="2" applyNumberFormat="1" applyFont="1" applyBorder="1" applyAlignment="1">
      <alignment horizontal="center" vertical="center" textRotation="90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zoomScale="85" zoomScaleNormal="85" zoomScaleSheetLayoutView="130" workbookViewId="0">
      <selection activeCell="L18" sqref="L18:M18"/>
    </sheetView>
  </sheetViews>
  <sheetFormatPr defaultRowHeight="15" x14ac:dyDescent="0.25"/>
  <cols>
    <col min="1" max="1" width="14.140625" customWidth="1"/>
    <col min="2" max="2" width="8" customWidth="1"/>
    <col min="3" max="4" width="8.42578125" customWidth="1"/>
    <col min="5" max="5" width="11.5703125" customWidth="1"/>
    <col min="6" max="7" width="10.140625" customWidth="1"/>
    <col min="8" max="8" width="6.42578125" customWidth="1"/>
    <col min="9" max="9" width="9.5703125" customWidth="1"/>
    <col min="10" max="10" width="4.85546875" customWidth="1"/>
    <col min="11" max="11" width="10.42578125" customWidth="1"/>
    <col min="12" max="12" width="9.140625" customWidth="1"/>
    <col min="13" max="13" width="8.7109375" customWidth="1"/>
    <col min="14" max="14" width="5.5703125" customWidth="1"/>
    <col min="15" max="15" width="9.42578125" customWidth="1"/>
    <col min="16" max="16" width="11" customWidth="1"/>
    <col min="17" max="17" width="6.5703125" customWidth="1"/>
  </cols>
  <sheetData>
    <row r="1" spans="1:17" x14ac:dyDescent="0.25">
      <c r="A1" s="18" t="s">
        <v>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30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3" t="s">
        <v>3</v>
      </c>
      <c r="H4" s="13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3" t="s">
        <v>7</v>
      </c>
      <c r="Q4" s="13" t="s">
        <v>8</v>
      </c>
    </row>
    <row r="5" spans="1:17" ht="124.5" customHeight="1" x14ac:dyDescent="0.25">
      <c r="A5" s="23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4"/>
      <c r="H5" s="25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4"/>
      <c r="Q5" s="14"/>
    </row>
    <row r="6" spans="1:17" x14ac:dyDescent="0.25">
      <c r="A6" s="11">
        <v>45017</v>
      </c>
      <c r="B6" s="2">
        <v>5118</v>
      </c>
      <c r="C6" s="2">
        <v>8338.75</v>
      </c>
      <c r="D6" s="2">
        <v>5092.3320000000003</v>
      </c>
      <c r="E6" s="2">
        <v>741386</v>
      </c>
      <c r="F6" s="2">
        <v>781.78959299999997</v>
      </c>
      <c r="G6" s="2">
        <v>847.63613899999996</v>
      </c>
      <c r="H6" s="5">
        <f t="shared" ref="H6:H18" si="0">F6/G6*100</f>
        <v>92.23174390869147</v>
      </c>
      <c r="I6" s="5">
        <v>4272.1738099999993</v>
      </c>
      <c r="J6" s="5"/>
      <c r="K6" s="5">
        <v>4272.1738099999993</v>
      </c>
      <c r="L6" s="5">
        <v>58.634219474999981</v>
      </c>
      <c r="M6" s="5">
        <v>5.2125094812199979</v>
      </c>
      <c r="N6" s="5">
        <v>0</v>
      </c>
      <c r="O6" s="5">
        <v>63.846728956219984</v>
      </c>
      <c r="P6" s="5">
        <v>79.627202000000011</v>
      </c>
      <c r="Q6" s="5">
        <f t="shared" ref="Q6" si="1">O6/P6*100</f>
        <v>80.182057579041867</v>
      </c>
    </row>
    <row r="7" spans="1:17" x14ac:dyDescent="0.25">
      <c r="A7" s="12">
        <v>45047</v>
      </c>
      <c r="B7" s="3">
        <v>4971</v>
      </c>
      <c r="C7" s="3">
        <v>7924.3166666666666</v>
      </c>
      <c r="D7" s="3">
        <v>4816.1639999999998</v>
      </c>
      <c r="E7" s="3">
        <v>719797</v>
      </c>
      <c r="F7" s="3">
        <v>744.36164500000007</v>
      </c>
      <c r="G7" s="3">
        <v>785.37595099999999</v>
      </c>
      <c r="H7" s="6">
        <f t="shared" si="0"/>
        <v>94.777748675933168</v>
      </c>
      <c r="I7" s="6">
        <v>4343.0307500000035</v>
      </c>
      <c r="J7" s="6"/>
      <c r="K7" s="6">
        <v>4343.0307500000035</v>
      </c>
      <c r="L7" s="6">
        <v>55.827123375000035</v>
      </c>
      <c r="M7" s="6">
        <v>5.1204272212199973</v>
      </c>
      <c r="N7" s="6">
        <v>0</v>
      </c>
      <c r="O7" s="6">
        <v>60.947550596220026</v>
      </c>
      <c r="P7" s="6">
        <v>73.296793000000008</v>
      </c>
      <c r="Q7" s="6">
        <f t="shared" ref="Q7:Q18" si="2">O7/P7*100</f>
        <v>83.151728884263761</v>
      </c>
    </row>
    <row r="8" spans="1:17" x14ac:dyDescent="0.25">
      <c r="A8" s="11">
        <v>45078</v>
      </c>
      <c r="B8" s="2">
        <v>4087</v>
      </c>
      <c r="C8" s="2">
        <v>6364.55</v>
      </c>
      <c r="D8" s="2">
        <v>3743.7669999999998</v>
      </c>
      <c r="E8" s="2">
        <v>555248</v>
      </c>
      <c r="F8" s="2">
        <v>546.27852000000007</v>
      </c>
      <c r="G8" s="2">
        <v>583.70738800000004</v>
      </c>
      <c r="H8" s="5">
        <f t="shared" si="0"/>
        <v>93.587734407774875</v>
      </c>
      <c r="I8" s="5">
        <v>3895.1264899999983</v>
      </c>
      <c r="J8" s="5"/>
      <c r="K8" s="8">
        <v>3895.1264899999983</v>
      </c>
      <c r="L8" s="5">
        <v>40.970889000000014</v>
      </c>
      <c r="M8" s="5">
        <v>4.5179880549500018</v>
      </c>
      <c r="N8" s="5">
        <v>0</v>
      </c>
      <c r="O8" s="8">
        <v>45.488877054950017</v>
      </c>
      <c r="P8" s="5">
        <v>53.885206500000002</v>
      </c>
      <c r="Q8" s="5">
        <f t="shared" si="2"/>
        <v>84.418117716501683</v>
      </c>
    </row>
    <row r="9" spans="1:17" x14ac:dyDescent="0.25">
      <c r="A9" s="12">
        <v>45108</v>
      </c>
      <c r="B9" s="3">
        <v>3980</v>
      </c>
      <c r="C9" s="3">
        <v>6348.916666666667</v>
      </c>
      <c r="D9" s="3">
        <v>3679.5610000000001</v>
      </c>
      <c r="E9" s="3">
        <v>504227</v>
      </c>
      <c r="F9" s="3">
        <v>502.870518</v>
      </c>
      <c r="G9" s="3">
        <v>565.94167400000003</v>
      </c>
      <c r="H9" s="6">
        <f t="shared" si="0"/>
        <v>88.855537788157292</v>
      </c>
      <c r="I9" s="6">
        <v>3127.8291999999988</v>
      </c>
      <c r="J9" s="6"/>
      <c r="K9" s="6">
        <v>3127.8291999999988</v>
      </c>
      <c r="L9" s="6">
        <v>37.715288849999943</v>
      </c>
      <c r="M9" s="6">
        <v>3.5390427026599993</v>
      </c>
      <c r="N9" s="6">
        <v>0</v>
      </c>
      <c r="O9" s="6">
        <v>41.254331552659949</v>
      </c>
      <c r="P9" s="6">
        <v>51.799934</v>
      </c>
      <c r="Q9" s="6">
        <f t="shared" si="2"/>
        <v>79.641668177916884</v>
      </c>
    </row>
    <row r="10" spans="1:17" x14ac:dyDescent="0.25">
      <c r="A10" s="11">
        <v>45139</v>
      </c>
      <c r="B10" s="2">
        <v>3999</v>
      </c>
      <c r="C10" s="2">
        <v>6193.3666666666668</v>
      </c>
      <c r="D10" s="2">
        <v>3689.8290000000002</v>
      </c>
      <c r="E10" s="2">
        <v>541051</v>
      </c>
      <c r="F10" s="2">
        <v>533.08127899999999</v>
      </c>
      <c r="G10" s="2">
        <v>586.67878500000006</v>
      </c>
      <c r="H10" s="5">
        <f t="shared" si="0"/>
        <v>90.864250187604782</v>
      </c>
      <c r="I10" s="5">
        <v>3269.6082600000022</v>
      </c>
      <c r="J10" s="5"/>
      <c r="K10" s="8">
        <v>3269.6082600000022</v>
      </c>
      <c r="L10" s="5">
        <v>39.981095924999998</v>
      </c>
      <c r="M10" s="5">
        <v>3.6064833162599994</v>
      </c>
      <c r="N10" s="5">
        <v>0</v>
      </c>
      <c r="O10" s="8">
        <v>43.587579241260002</v>
      </c>
      <c r="P10" s="5">
        <v>54.790586000000005</v>
      </c>
      <c r="Q10" s="5">
        <f t="shared" si="2"/>
        <v>79.553044461433572</v>
      </c>
    </row>
    <row r="11" spans="1:17" x14ac:dyDescent="0.25">
      <c r="A11" s="12">
        <v>45170</v>
      </c>
      <c r="B11" s="3">
        <v>4036</v>
      </c>
      <c r="C11" s="3">
        <v>6333.2333333333336</v>
      </c>
      <c r="D11" s="3">
        <v>3729.6570000000002</v>
      </c>
      <c r="E11" s="3">
        <v>544605</v>
      </c>
      <c r="F11" s="3">
        <v>537.851403</v>
      </c>
      <c r="G11" s="3">
        <v>588.64522799999997</v>
      </c>
      <c r="H11" s="6">
        <f t="shared" si="0"/>
        <v>91.371063149092592</v>
      </c>
      <c r="I11" s="6">
        <v>3129.2699700000007</v>
      </c>
      <c r="J11" s="6"/>
      <c r="K11" s="6">
        <v>3129.2699700000007</v>
      </c>
      <c r="L11" s="6">
        <v>40.338855225000039</v>
      </c>
      <c r="M11" s="6">
        <v>3.5078850596000013</v>
      </c>
      <c r="N11" s="6">
        <v>0</v>
      </c>
      <c r="O11" s="6">
        <v>43.846740284600031</v>
      </c>
      <c r="P11" s="6">
        <v>54.981133500000006</v>
      </c>
      <c r="Q11" s="6">
        <f t="shared" si="2"/>
        <v>79.748701951734091</v>
      </c>
    </row>
    <row r="12" spans="1:17" x14ac:dyDescent="0.25">
      <c r="A12" s="11">
        <v>45200</v>
      </c>
      <c r="B12" s="2">
        <v>4603</v>
      </c>
      <c r="C12" s="2">
        <v>7034.5666666666666</v>
      </c>
      <c r="D12" s="2">
        <v>4294.7219999999998</v>
      </c>
      <c r="E12" s="2">
        <v>627964</v>
      </c>
      <c r="F12" s="2">
        <v>637.10264500000005</v>
      </c>
      <c r="G12" s="2">
        <v>706.941238</v>
      </c>
      <c r="H12" s="5">
        <f t="shared" si="0"/>
        <v>90.12101865813068</v>
      </c>
      <c r="I12" s="5">
        <v>2490.7047799999996</v>
      </c>
      <c r="J12" s="5"/>
      <c r="K12" s="8">
        <v>2490.7047799999996</v>
      </c>
      <c r="L12" s="5">
        <v>47.782698375000031</v>
      </c>
      <c r="M12" s="5">
        <v>2.7565017604699995</v>
      </c>
      <c r="N12" s="5">
        <v>0</v>
      </c>
      <c r="O12" s="8">
        <v>50.539200135470026</v>
      </c>
      <c r="P12" s="5">
        <v>65.362455499999996</v>
      </c>
      <c r="Q12" s="5">
        <f t="shared" si="2"/>
        <v>77.321452734391272</v>
      </c>
    </row>
    <row r="13" spans="1:17" x14ac:dyDescent="0.25">
      <c r="A13" s="12">
        <v>45231</v>
      </c>
      <c r="B13" s="3">
        <v>5439</v>
      </c>
      <c r="C13" s="3">
        <v>8444.5</v>
      </c>
      <c r="D13" s="3">
        <v>5183.9830000000002</v>
      </c>
      <c r="E13" s="3">
        <v>784533</v>
      </c>
      <c r="F13" s="3">
        <v>799.382428</v>
      </c>
      <c r="G13" s="3">
        <v>880.51533200000006</v>
      </c>
      <c r="H13" s="6">
        <f t="shared" si="0"/>
        <v>90.78574772619632</v>
      </c>
      <c r="I13" s="6">
        <v>3249.2607200000034</v>
      </c>
      <c r="J13" s="6"/>
      <c r="K13" s="6">
        <v>3249.2607200000034</v>
      </c>
      <c r="L13" s="6">
        <v>59.953682100000009</v>
      </c>
      <c r="M13" s="6">
        <v>3.8501237625500009</v>
      </c>
      <c r="N13" s="6">
        <v>0</v>
      </c>
      <c r="O13" s="6">
        <v>63.803805862550007</v>
      </c>
      <c r="P13" s="6">
        <v>82.912672499999999</v>
      </c>
      <c r="Q13" s="6">
        <f t="shared" si="2"/>
        <v>76.95302049581143</v>
      </c>
    </row>
    <row r="14" spans="1:17" x14ac:dyDescent="0.25">
      <c r="A14" s="11">
        <v>45261</v>
      </c>
      <c r="B14" s="2">
        <v>5234</v>
      </c>
      <c r="C14" s="2">
        <v>8111.7166666666662</v>
      </c>
      <c r="D14" s="2">
        <v>4974.6170000000002</v>
      </c>
      <c r="E14" s="2">
        <v>771972</v>
      </c>
      <c r="F14" s="2">
        <v>791.50317399999994</v>
      </c>
      <c r="G14" s="2">
        <v>846.670164</v>
      </c>
      <c r="H14" s="5">
        <f t="shared" si="0"/>
        <v>93.484240694230962</v>
      </c>
      <c r="I14" s="5">
        <v>2436.0252699999996</v>
      </c>
      <c r="J14" s="5"/>
      <c r="K14" s="8">
        <v>2436.0252699999996</v>
      </c>
      <c r="L14" s="5">
        <v>59.362738050000026</v>
      </c>
      <c r="M14" s="5">
        <v>2.886450656860001</v>
      </c>
      <c r="N14" s="5">
        <v>0</v>
      </c>
      <c r="O14" s="8">
        <v>62.249188706860032</v>
      </c>
      <c r="P14" s="5">
        <v>78.987027499999996</v>
      </c>
      <c r="Q14" s="5">
        <f t="shared" si="2"/>
        <v>78.809382600022559</v>
      </c>
    </row>
    <row r="15" spans="1:17" x14ac:dyDescent="0.25">
      <c r="A15" s="12">
        <v>45292</v>
      </c>
      <c r="B15" s="3">
        <v>4997</v>
      </c>
      <c r="C15" s="3">
        <v>7553.6333333333332</v>
      </c>
      <c r="D15" s="3">
        <v>4549.9139999999998</v>
      </c>
      <c r="E15" s="3">
        <v>740084</v>
      </c>
      <c r="F15" s="3">
        <v>723.70185600000002</v>
      </c>
      <c r="G15" s="3">
        <v>772.69854199999997</v>
      </c>
      <c r="H15" s="6">
        <f t="shared" si="0"/>
        <v>93.65901663627055</v>
      </c>
      <c r="I15" s="6">
        <v>2503.6980300000014</v>
      </c>
      <c r="J15" s="6"/>
      <c r="K15" s="6">
        <v>2503.6980300000014</v>
      </c>
      <c r="L15" s="6">
        <v>54.277639199999989</v>
      </c>
      <c r="M15" s="6">
        <v>2.8598838617399993</v>
      </c>
      <c r="N15" s="6">
        <v>0</v>
      </c>
      <c r="O15" s="6">
        <v>57.137523061739984</v>
      </c>
      <c r="P15" s="6">
        <v>72.811723499999999</v>
      </c>
      <c r="Q15" s="6">
        <f t="shared" si="2"/>
        <v>78.472971542474184</v>
      </c>
    </row>
    <row r="16" spans="1:17" x14ac:dyDescent="0.25">
      <c r="A16" s="11">
        <v>45323</v>
      </c>
      <c r="B16" s="2">
        <v>4480</v>
      </c>
      <c r="C16" s="2">
        <v>6809.15</v>
      </c>
      <c r="D16" s="2">
        <v>4096.5940000000001</v>
      </c>
      <c r="E16" s="2">
        <v>658810</v>
      </c>
      <c r="F16" s="2">
        <v>656.272964</v>
      </c>
      <c r="G16" s="2">
        <v>694.71282400000007</v>
      </c>
      <c r="H16" s="5">
        <f t="shared" si="0"/>
        <v>94.466798557327323</v>
      </c>
      <c r="I16" s="5">
        <v>3099.1049900000025</v>
      </c>
      <c r="J16" s="5"/>
      <c r="K16" s="8">
        <v>3099.1049900000025</v>
      </c>
      <c r="L16" s="5">
        <v>49.220472300000004</v>
      </c>
      <c r="M16" s="5">
        <v>3.5732987919099988</v>
      </c>
      <c r="N16" s="5">
        <v>0</v>
      </c>
      <c r="O16" s="8">
        <v>52.793771091909996</v>
      </c>
      <c r="P16" s="5">
        <v>64.822440999999998</v>
      </c>
      <c r="Q16" s="5">
        <f t="shared" si="2"/>
        <v>81.443664072924989</v>
      </c>
    </row>
    <row r="17" spans="1:17" x14ac:dyDescent="0.25">
      <c r="A17" s="12">
        <v>45352</v>
      </c>
      <c r="B17" s="3">
        <v>4802</v>
      </c>
      <c r="C17" s="3">
        <v>7391.583333333333</v>
      </c>
      <c r="D17" s="3">
        <v>4493.5550000000003</v>
      </c>
      <c r="E17" s="3">
        <v>702476</v>
      </c>
      <c r="F17" s="3">
        <v>709.538813</v>
      </c>
      <c r="G17" s="3">
        <v>765.06011000000001</v>
      </c>
      <c r="H17" s="6">
        <f t="shared" si="0"/>
        <v>92.74288434669532</v>
      </c>
      <c r="I17" s="6">
        <v>3133.9680599999979</v>
      </c>
      <c r="J17" s="6"/>
      <c r="K17" s="6">
        <v>3133.9680599999979</v>
      </c>
      <c r="L17" s="6">
        <v>53.215410975000019</v>
      </c>
      <c r="M17" s="6">
        <v>3.6260766987099982</v>
      </c>
      <c r="N17" s="6">
        <v>0</v>
      </c>
      <c r="O17" s="6">
        <v>56.84148767371002</v>
      </c>
      <c r="P17" s="6">
        <v>72.015515499999992</v>
      </c>
      <c r="Q17" s="6">
        <f>O17/P17*100</f>
        <v>78.929501898393028</v>
      </c>
    </row>
    <row r="18" spans="1:17" x14ac:dyDescent="0.25">
      <c r="A18" s="1" t="s">
        <v>22</v>
      </c>
      <c r="B18" s="4">
        <f>SUM(B6:B17)</f>
        <v>55746</v>
      </c>
      <c r="C18" s="4">
        <f t="shared" ref="C18:G18" si="3">SUM(C6:C17)</f>
        <v>86848.283333333326</v>
      </c>
      <c r="D18" s="4">
        <f t="shared" si="3"/>
        <v>52344.694999999992</v>
      </c>
      <c r="E18" s="4">
        <f t="shared" si="3"/>
        <v>7892153</v>
      </c>
      <c r="F18" s="4">
        <f t="shared" si="3"/>
        <v>7963.7348379999994</v>
      </c>
      <c r="G18" s="4">
        <f t="shared" si="3"/>
        <v>8624.5833750000002</v>
      </c>
      <c r="H18" s="7">
        <f t="shared" si="0"/>
        <v>92.337617850439059</v>
      </c>
      <c r="I18" s="7">
        <f t="shared" ref="I18:P18" si="4">SUM(I6:I17)</f>
        <v>38949.800330000005</v>
      </c>
      <c r="J18" s="7"/>
      <c r="K18" s="7">
        <f t="shared" si="4"/>
        <v>38949.800330000005</v>
      </c>
      <c r="L18" s="7">
        <f t="shared" si="4"/>
        <v>597.28011285000014</v>
      </c>
      <c r="M18" s="7">
        <f t="shared" si="4"/>
        <v>45.056671368149999</v>
      </c>
      <c r="N18" s="7"/>
      <c r="O18" s="7">
        <f t="shared" si="4"/>
        <v>642.33678421815011</v>
      </c>
      <c r="P18" s="7">
        <f t="shared" si="4"/>
        <v>805.29269050000005</v>
      </c>
      <c r="Q18" s="7">
        <f t="shared" si="2"/>
        <v>79.764387755628093</v>
      </c>
    </row>
    <row r="19" spans="1:17" x14ac:dyDescent="0.25">
      <c r="A19" s="15" t="s">
        <v>21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1:1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5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2022-04-26T05:52:58Z</cp:lastPrinted>
  <dcterms:created xsi:type="dcterms:W3CDTF">2018-10-29T04:00:07Z</dcterms:created>
  <dcterms:modified xsi:type="dcterms:W3CDTF">2025-01-24T06:56:36Z</dcterms:modified>
</cp:coreProperties>
</file>