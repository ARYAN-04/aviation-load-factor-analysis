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Revised Data of Non Scheduled Int Opertn\Excel 2021\"/>
    </mc:Choice>
  </mc:AlternateContent>
  <bookViews>
    <workbookView xWindow="0" yWindow="0" windowWidth="24000" windowHeight="97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Monthly_Template!$A$1:$Q$77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H73" i="2"/>
  <c r="G73" i="2"/>
  <c r="F73" i="2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H54" i="2"/>
  <c r="G54" i="2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H35" i="2"/>
  <c r="G35" i="2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H16" i="2"/>
  <c r="G16" i="2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<sst xmlns="http://schemas.openxmlformats.org/spreadsheetml/2006/main" count="154" uniqueCount="43">
  <si>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</si>
  <si>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BLUEDART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</si>
  <si>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</si>
  <si>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</si>
  <si>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</si>
  <si>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</si>
  <si>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</si>
  <si>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</si>
  <si>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</si>
  <si>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</si>
  <si>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</si>
  <si>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</si>
  <si>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</si>
  <si>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</si>
  <si>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</si>
  <si>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</si>
  <si>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</si>
  <si>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</si>
  <si>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</si>
  <si>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</si>
  <si>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</si>
  <si>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</si>
  <si>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</si>
  <si>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</si>
  <si>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</si>
  <si>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</si>
  <si>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</si>
  <si>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</si>
  <si>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</si>
  <si>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</si>
  <si>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</si>
  <si>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</si>
  <si>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</si>
  <si>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</si>
  <si>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</si>
  <si>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BLUEDART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</si>
  <si>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</si>
  <si>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</si>
  <si>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</si>
  <si>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</si>
  <si>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</si>
  <si>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</si>
  <si>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Note:  In wake of Covid-19 all International scheduled operations carried by Indian carriers have been suspended as per DGCA's Circular dated 26-03-2020.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</si>
</sst>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3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  <font>
      <b/>
      <sz val="14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3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22" fillId="3" borderId="5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Revised%20Data%20of%20Non%20Scheduled%20Int%20Opertn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PivotTable"/>
      <sheetName val="Interface"/>
      <sheetName val="Data"/>
      <sheetName val="Sheet2"/>
      <sheetName val="Sheet4"/>
      <sheetName val="Sheet3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/>
      <sheetData sheetId="4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1" transitionEvaluation="1" transitionEntry="1" codeName="Sheet12"/>
  <dimension ref="A1:Q494"/>
  <sheetViews>
    <sheetView showGridLines="0" tabSelected="1" view="pageLayout" topLeftCell="A41" zoomScaleNormal="85" zoomScaleSheetLayoutView="130" workbookViewId="0">
      <selection activeCell="A77" sqref="A77:Q77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7">
        <v>2021</v>
      </c>
      <c r="B1" s="167"/>
      <c r="C1" s="168" t="s">
        <v>0</v>
      </c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9" t="s">
        <v>1</v>
      </c>
      <c r="P1" s="169"/>
      <c r="Q1" s="169"/>
    </row>
    <row r="2" spans="1:17" ht="33" customHeight="1" x14ac:dyDescent="0.3">
      <c r="A2" s="170" t="s">
        <v>2</v>
      </c>
      <c r="B2" s="165" t="s">
        <v>3</v>
      </c>
      <c r="C2" s="165"/>
      <c r="D2" s="165"/>
      <c r="E2" s="166" t="s">
        <v>4</v>
      </c>
      <c r="F2" s="166" t="s">
        <v>5</v>
      </c>
      <c r="G2" s="166" t="s">
        <v>6</v>
      </c>
      <c r="H2" s="166" t="s">
        <v>7</v>
      </c>
      <c r="I2" s="165" t="s">
        <v>8</v>
      </c>
      <c r="J2" s="165"/>
      <c r="K2" s="165"/>
      <c r="L2" s="165" t="s">
        <v>9</v>
      </c>
      <c r="M2" s="165"/>
      <c r="N2" s="165"/>
      <c r="O2" s="165"/>
      <c r="P2" s="166" t="s">
        <v>10</v>
      </c>
      <c r="Q2" s="166" t="s">
        <v>11</v>
      </c>
    </row>
    <row r="3" spans="1:17" ht="155.25" customHeight="1" x14ac:dyDescent="0.3">
      <c r="A3" s="171"/>
      <c r="B3" s="2" t="s">
        <v>12</v>
      </c>
      <c r="C3" s="2" t="s">
        <v>13</v>
      </c>
      <c r="D3" s="2" t="s">
        <v>14</v>
      </c>
      <c r="E3" s="166"/>
      <c r="F3" s="166"/>
      <c r="G3" s="166"/>
      <c r="H3" s="166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66"/>
      <c r="Q3" s="166"/>
    </row>
    <row r="4" spans="1:17" ht="23.1" customHeight="1" x14ac:dyDescent="0.3">
      <c r="A4" s="4" t="s">
        <v>22</v>
      </c>
      <c r="B4" s="5">
        <v>440</v>
      </c>
      <c r="C4" s="5">
        <v>598.66999999999996</v>
      </c>
      <c r="D4" s="6">
        <v>436</v>
      </c>
      <c r="E4" s="7"/>
      <c r="F4" s="5"/>
      <c r="G4" s="5"/>
      <c r="H4" s="8" t="str">
        <f>IFERROR(F4/G4*100," ")</f>
        <v xml:space="preserve"> </v>
      </c>
      <c r="I4" s="9">
        <v>9680.8879999999936</v>
      </c>
      <c r="J4" s="10"/>
      <c r="K4" s="8">
        <f>IF(AND(ISBLANK(I4),ISBLANK(J4))=TRUE,"",I4+J4)</f>
        <v>9680.8879999999936</v>
      </c>
      <c r="L4" s="9"/>
      <c r="M4" s="10">
        <v>9875</v>
      </c>
      <c r="N4" s="10"/>
      <c r="O4" s="8">
        <f>IF(AND(ISBLANK(L4),ISBLANK(M4),ISBLANK(N4))=TRUE,"",L4+M4+N4)</f>
        <v>9875</v>
      </c>
      <c r="P4" s="10">
        <v>13228</v>
      </c>
      <c r="Q4" s="8">
        <f>IFERROR(O4/P4*100," ")</f>
        <v>74.652252797097063</v>
      </c>
    </row>
    <row r="5" spans="1:17" ht="23.1" customHeight="1" x14ac:dyDescent="0.3">
      <c r="A5" s="11" t="s">
        <v>23</v>
      </c>
      <c r="B5" s="12">
        <v>424</v>
      </c>
      <c r="C5" s="12">
        <v>544.75</v>
      </c>
      <c r="D5" s="11">
        <v>414</v>
      </c>
      <c r="E5" s="13"/>
      <c r="F5" s="12"/>
      <c r="G5" s="12"/>
      <c r="H5" s="14" t="str">
        <f t="shared" ref="H5:H16" si="0">IFERROR(F5/G5*100," ")</f>
        <v xml:space="preserve"> </v>
      </c>
      <c r="I5" s="15">
        <v>9378.5089999999964</v>
      </c>
      <c r="J5" s="16"/>
      <c r="K5" s="14">
        <f t="shared" ref="K5:K16" si="1">IF(AND(ISBLANK(I5),ISBLANK(J5))=TRUE,"",I5+J5)</f>
        <v>9378.5089999999964</v>
      </c>
      <c r="L5" s="15"/>
      <c r="M5" s="16">
        <v>9492</v>
      </c>
      <c r="N5" s="16"/>
      <c r="O5" s="14">
        <f t="shared" ref="O5:O16" si="2">IF(AND(ISBLANK(L5),ISBLANK(M5),ISBLANK(N5))=TRUE,"",L5+M5+N5)</f>
        <v>9492</v>
      </c>
      <c r="P5" s="16">
        <v>12711</v>
      </c>
      <c r="Q5" s="14">
        <f t="shared" ref="Q5:Q16" si="3">IFERROR(O5/P5*100," ")</f>
        <v>74.675477932499419</v>
      </c>
    </row>
    <row r="6" spans="1:17" ht="23.1" customHeight="1" x14ac:dyDescent="0.3">
      <c r="A6" s="17" t="s">
        <v>24</v>
      </c>
      <c r="B6" s="18">
        <v>460</v>
      </c>
      <c r="C6" s="18">
        <v>573.16</v>
      </c>
      <c r="D6" s="17">
        <v>449</v>
      </c>
      <c r="E6" s="19"/>
      <c r="F6" s="18"/>
      <c r="G6" s="18"/>
      <c r="H6" s="20" t="str">
        <f t="shared" si="0"/>
        <v xml:space="preserve"> </v>
      </c>
      <c r="I6" s="21">
        <v>10341.183000000005</v>
      </c>
      <c r="J6" s="22"/>
      <c r="K6" s="20">
        <f t="shared" si="1"/>
        <v>10341.183000000005</v>
      </c>
      <c r="L6" s="21"/>
      <c r="M6" s="22">
        <v>10475</v>
      </c>
      <c r="N6" s="22"/>
      <c r="O6" s="20">
        <f t="shared" si="2"/>
        <v>10475</v>
      </c>
      <c r="P6" s="22">
        <v>14024</v>
      </c>
      <c r="Q6" s="20">
        <f t="shared" si="3"/>
        <v>74.693382772390194</v>
      </c>
    </row>
    <row r="7" spans="1:17" ht="23.1" customHeight="1" x14ac:dyDescent="0.3">
      <c r="A7" s="11" t="s">
        <v>25</v>
      </c>
      <c r="B7" s="12">
        <v>473</v>
      </c>
      <c r="C7" s="12">
        <v>628.91999999999996</v>
      </c>
      <c r="D7" s="11">
        <v>468</v>
      </c>
      <c r="E7" s="13"/>
      <c r="F7" s="12"/>
      <c r="G7" s="12"/>
      <c r="H7" s="14" t="str">
        <f t="shared" si="0"/>
        <v xml:space="preserve"> </v>
      </c>
      <c r="I7" s="15">
        <v>10379.044</v>
      </c>
      <c r="J7" s="16"/>
      <c r="K7" s="14">
        <f t="shared" si="1"/>
        <v>10379.044</v>
      </c>
      <c r="L7" s="15"/>
      <c r="M7" s="16">
        <v>10630</v>
      </c>
      <c r="N7" s="16"/>
      <c r="O7" s="14">
        <f t="shared" si="2"/>
        <v>10630</v>
      </c>
      <c r="P7" s="16">
        <v>14622</v>
      </c>
      <c r="Q7" s="14">
        <f t="shared" si="3"/>
        <v>72.698673232115979</v>
      </c>
    </row>
    <row r="8" spans="1:17" s="23" customFormat="1" ht="30" customHeight="1" x14ac:dyDescent="0.25">
      <c r="A8" s="17" t="s">
        <v>26</v>
      </c>
      <c r="B8" s="18">
        <v>455</v>
      </c>
      <c r="C8" s="18">
        <v>607.29999999999995</v>
      </c>
      <c r="D8" s="17">
        <v>452</v>
      </c>
      <c r="E8" s="19"/>
      <c r="F8" s="18"/>
      <c r="G8" s="18"/>
      <c r="H8" s="20" t="str">
        <f t="shared" si="0"/>
        <v xml:space="preserve"> </v>
      </c>
      <c r="I8" s="21">
        <v>9878.0670000000136</v>
      </c>
      <c r="J8" s="22"/>
      <c r="K8" s="20">
        <f t="shared" si="1"/>
        <v>9878.0670000000136</v>
      </c>
      <c r="L8" s="21"/>
      <c r="M8" s="22">
        <v>10202</v>
      </c>
      <c r="N8" s="22"/>
      <c r="O8" s="20">
        <f t="shared" si="2"/>
        <v>10202</v>
      </c>
      <c r="P8" s="22">
        <v>14051</v>
      </c>
      <c r="Q8" s="20">
        <f t="shared" si="3"/>
        <v>72.606931890968625</v>
      </c>
    </row>
    <row r="9" spans="1:17" ht="23.1" customHeight="1" x14ac:dyDescent="0.3">
      <c r="A9" s="11" t="s">
        <v>27</v>
      </c>
      <c r="B9" s="12">
        <v>492</v>
      </c>
      <c r="C9" s="12">
        <v>664.25</v>
      </c>
      <c r="D9" s="11">
        <v>494</v>
      </c>
      <c r="E9" s="13"/>
      <c r="F9" s="12"/>
      <c r="G9" s="12"/>
      <c r="H9" s="14" t="str">
        <f t="shared" si="0"/>
        <v xml:space="preserve"> </v>
      </c>
      <c r="I9" s="15">
        <v>11015.052999999996</v>
      </c>
      <c r="J9" s="16"/>
      <c r="K9" s="14">
        <f t="shared" si="1"/>
        <v>11015.052999999996</v>
      </c>
      <c r="L9" s="15"/>
      <c r="M9" s="16">
        <v>11491</v>
      </c>
      <c r="N9" s="16"/>
      <c r="O9" s="14">
        <f t="shared" si="2"/>
        <v>11491</v>
      </c>
      <c r="P9" s="16">
        <v>15188</v>
      </c>
      <c r="Q9" s="14">
        <f t="shared" si="3"/>
        <v>75.658414537792993</v>
      </c>
    </row>
    <row r="10" spans="1:17" ht="23.1" customHeight="1" x14ac:dyDescent="0.3">
      <c r="A10" s="17" t="s">
        <v>28</v>
      </c>
      <c r="B10" s="18">
        <v>498</v>
      </c>
      <c r="C10" s="18">
        <v>662.1</v>
      </c>
      <c r="D10" s="17">
        <v>495</v>
      </c>
      <c r="E10" s="19"/>
      <c r="F10" s="18"/>
      <c r="G10" s="18"/>
      <c r="H10" s="20" t="str">
        <f t="shared" si="0"/>
        <v xml:space="preserve"> </v>
      </c>
      <c r="I10" s="21">
        <v>11119.852000000012</v>
      </c>
      <c r="J10" s="22"/>
      <c r="K10" s="20">
        <f t="shared" si="1"/>
        <v>11119.852000000012</v>
      </c>
      <c r="L10" s="21"/>
      <c r="M10" s="22">
        <v>11459</v>
      </c>
      <c r="N10" s="22"/>
      <c r="O10" s="20">
        <f t="shared" si="2"/>
        <v>11459</v>
      </c>
      <c r="P10" s="22">
        <v>15203</v>
      </c>
      <c r="Q10" s="20">
        <f t="shared" si="3"/>
        <v>75.37328158916003</v>
      </c>
    </row>
    <row r="11" spans="1:17" ht="23.1" customHeight="1" x14ac:dyDescent="0.3">
      <c r="A11" s="11" t="s">
        <v>29</v>
      </c>
      <c r="B11" s="12">
        <v>491</v>
      </c>
      <c r="C11" s="12">
        <v>669.4</v>
      </c>
      <c r="D11" s="11">
        <v>494</v>
      </c>
      <c r="E11" s="13"/>
      <c r="F11" s="12"/>
      <c r="G11" s="12"/>
      <c r="H11" s="14" t="str">
        <f t="shared" si="0"/>
        <v xml:space="preserve"> </v>
      </c>
      <c r="I11" s="15">
        <v>10799.295000000011</v>
      </c>
      <c r="J11" s="16"/>
      <c r="K11" s="14">
        <f t="shared" si="1"/>
        <v>10799.295000000011</v>
      </c>
      <c r="L11" s="15"/>
      <c r="M11" s="16">
        <v>11242</v>
      </c>
      <c r="N11" s="16"/>
      <c r="O11" s="14">
        <f t="shared" si="2"/>
        <v>11242</v>
      </c>
      <c r="P11" s="16">
        <v>15215</v>
      </c>
      <c r="Q11" s="14">
        <f t="shared" si="3"/>
        <v>73.8876109102859</v>
      </c>
    </row>
    <row r="12" spans="1:17" ht="23.1" customHeight="1" x14ac:dyDescent="0.3">
      <c r="A12" s="17" t="s">
        <v>30</v>
      </c>
      <c r="B12" s="18">
        <v>476</v>
      </c>
      <c r="C12" s="18">
        <v>659.15</v>
      </c>
      <c r="D12" s="17">
        <v>480</v>
      </c>
      <c r="E12" s="19"/>
      <c r="F12" s="18"/>
      <c r="G12" s="18"/>
      <c r="H12" s="20" t="str">
        <f t="shared" si="0"/>
        <v xml:space="preserve"> </v>
      </c>
      <c r="I12" s="21">
        <v>10794.292999999991</v>
      </c>
      <c r="J12" s="22"/>
      <c r="K12" s="20">
        <f t="shared" si="1"/>
        <v>10794.292999999991</v>
      </c>
      <c r="L12" s="21"/>
      <c r="M12" s="22">
        <v>11226</v>
      </c>
      <c r="N12" s="22"/>
      <c r="O12" s="20">
        <f t="shared" si="2"/>
        <v>11226</v>
      </c>
      <c r="P12" s="22">
        <v>14808</v>
      </c>
      <c r="Q12" s="20">
        <f t="shared" si="3"/>
        <v>75.810372771474874</v>
      </c>
    </row>
    <row r="13" spans="1:17" ht="23.1" customHeight="1" x14ac:dyDescent="0.3">
      <c r="A13" s="11" t="s">
        <v>31</v>
      </c>
      <c r="B13" s="12">
        <v>473</v>
      </c>
      <c r="C13" s="12">
        <v>617</v>
      </c>
      <c r="D13" s="11">
        <v>477</v>
      </c>
      <c r="E13" s="13"/>
      <c r="F13" s="12"/>
      <c r="G13" s="12"/>
      <c r="H13" s="14" t="str">
        <f t="shared" si="0"/>
        <v xml:space="preserve"> </v>
      </c>
      <c r="I13" s="15">
        <v>10793.12</v>
      </c>
      <c r="J13" s="16"/>
      <c r="K13" s="14">
        <f t="shared" si="1"/>
        <v>10793.12</v>
      </c>
      <c r="L13" s="15"/>
      <c r="M13" s="16">
        <v>11105</v>
      </c>
      <c r="N13" s="16"/>
      <c r="O13" s="14">
        <f t="shared" si="2"/>
        <v>11105</v>
      </c>
      <c r="P13" s="16">
        <v>14844</v>
      </c>
      <c r="Q13" s="14">
        <f t="shared" si="3"/>
        <v>74.811371597952032</v>
      </c>
    </row>
    <row r="14" spans="1:17" ht="23.1" customHeight="1" x14ac:dyDescent="0.3">
      <c r="A14" s="17" t="s">
        <v>32</v>
      </c>
      <c r="B14" s="18">
        <v>452</v>
      </c>
      <c r="C14" s="18">
        <v>633.4</v>
      </c>
      <c r="D14" s="17">
        <v>453</v>
      </c>
      <c r="E14" s="19"/>
      <c r="F14" s="18"/>
      <c r="G14" s="18"/>
      <c r="H14" s="20" t="str">
        <f t="shared" si="0"/>
        <v xml:space="preserve"> </v>
      </c>
      <c r="I14" s="21">
        <v>9717.1179999999931</v>
      </c>
      <c r="J14" s="22"/>
      <c r="K14" s="20">
        <f t="shared" si="1"/>
        <v>9717.1179999999931</v>
      </c>
      <c r="L14" s="21"/>
      <c r="M14" s="22">
        <v>9955</v>
      </c>
      <c r="N14" s="22"/>
      <c r="O14" s="20">
        <f t="shared" si="2"/>
        <v>9955</v>
      </c>
      <c r="P14" s="22">
        <v>14004</v>
      </c>
      <c r="Q14" s="20">
        <f t="shared" si="3"/>
        <v>71.086832333618972</v>
      </c>
    </row>
    <row r="15" spans="1:17" ht="23.1" customHeight="1" x14ac:dyDescent="0.3">
      <c r="A15" s="24" t="s">
        <v>33</v>
      </c>
      <c r="B15" s="25">
        <v>516</v>
      </c>
      <c r="C15" s="25">
        <v>691.05</v>
      </c>
      <c r="D15" s="26">
        <v>520</v>
      </c>
      <c r="E15" s="27"/>
      <c r="F15" s="25"/>
      <c r="G15" s="25"/>
      <c r="H15" s="28" t="str">
        <f t="shared" si="0"/>
        <v xml:space="preserve"> </v>
      </c>
      <c r="I15" s="29">
        <v>11248.730999999983</v>
      </c>
      <c r="J15" s="30"/>
      <c r="K15" s="28">
        <f t="shared" si="1"/>
        <v>11248.730999999983</v>
      </c>
      <c r="L15" s="29"/>
      <c r="M15" s="30">
        <v>11612</v>
      </c>
      <c r="N15" s="30"/>
      <c r="O15" s="28">
        <f t="shared" si="2"/>
        <v>11612</v>
      </c>
      <c r="P15" s="16">
        <v>16051</v>
      </c>
      <c r="Q15" s="14">
        <f t="shared" si="3"/>
        <v>72.344402217930352</v>
      </c>
    </row>
    <row r="16" spans="1:17" ht="23.1" customHeight="1" x14ac:dyDescent="0.3">
      <c r="A16" s="31" t="s">
        <v>34</v>
      </c>
      <c r="B16" s="32">
        <f t="shared" ref="B16:G16" si="4">SUM(B4:B15)</f>
        <v>5650</v>
      </c>
      <c r="C16" s="32">
        <f t="shared" si="4"/>
        <v>7549.15</v>
      </c>
      <c r="D16" s="32">
        <f t="shared" si="4"/>
        <v>5632</v>
      </c>
      <c r="E16" s="32">
        <f t="shared" si="4"/>
        <v>0</v>
      </c>
      <c r="F16" s="32">
        <f t="shared" si="4"/>
        <v>0</v>
      </c>
      <c r="G16" s="32">
        <f t="shared" si="4"/>
        <v>0</v>
      </c>
      <c r="H16" s="33" t="str">
        <f t="shared" si="0"/>
        <v xml:space="preserve"> </v>
      </c>
      <c r="I16" s="33">
        <f>SUM(I4:I15)</f>
        <v>125145.15299999999</v>
      </c>
      <c r="J16" s="33">
        <f>SUM(J4:J15)</f>
        <v>0</v>
      </c>
      <c r="K16" s="33">
        <f t="shared" si="1"/>
        <v>125145.15299999999</v>
      </c>
      <c r="L16" s="33">
        <f>SUM(L4:L15)</f>
        <v>0</v>
      </c>
      <c r="M16" s="33">
        <f>SUM(M4:M15)</f>
        <v>128764</v>
      </c>
      <c r="N16" s="33">
        <f>SUM(N4:N15)</f>
        <v>0</v>
      </c>
      <c r="O16" s="33">
        <f t="shared" si="2"/>
        <v>128764</v>
      </c>
      <c r="P16" s="34">
        <f>SUM(P4:P15)</f>
        <v>173949</v>
      </c>
      <c r="Q16" s="34">
        <f t="shared" si="3"/>
        <v>74.023995538922321</v>
      </c>
    </row>
    <row r="17" spans="1:17" ht="20.100000000000001" customHeight="1" x14ac:dyDescent="0.3">
      <c r="A17" s="146" t="s">
        <v>35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</row>
    <row r="18" spans="1:17" s="35" customFormat="1" x14ac:dyDescent="0.25">
      <c r="A18" s="148" t="s">
        <v>36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</row>
    <row r="19" spans="1:17" s="35" customFormat="1" x14ac:dyDescent="0.25">
      <c r="A19" s="148" t="s">
        <v>37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1:17" ht="51.75" customHeight="1" x14ac:dyDescent="0.3">
      <c r="A20" s="161">
        <v>2021</v>
      </c>
      <c r="B20" s="161"/>
      <c r="C20" s="162" t="s">
        <v>38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3" t="s">
        <v>1</v>
      </c>
      <c r="P20" s="163"/>
      <c r="Q20" s="164"/>
    </row>
    <row r="21" spans="1:17" ht="33" customHeight="1" x14ac:dyDescent="0.3">
      <c r="A21" s="158" t="s">
        <v>2</v>
      </c>
      <c r="B21" s="158" t="s">
        <v>3</v>
      </c>
      <c r="C21" s="158"/>
      <c r="D21" s="158"/>
      <c r="E21" s="159" t="s">
        <v>4</v>
      </c>
      <c r="F21" s="159" t="s">
        <v>5</v>
      </c>
      <c r="G21" s="159" t="s">
        <v>6</v>
      </c>
      <c r="H21" s="159" t="s">
        <v>7</v>
      </c>
      <c r="I21" s="158" t="s">
        <v>8</v>
      </c>
      <c r="J21" s="158"/>
      <c r="K21" s="158"/>
      <c r="L21" s="158" t="s">
        <v>9</v>
      </c>
      <c r="M21" s="158"/>
      <c r="N21" s="158"/>
      <c r="O21" s="158"/>
      <c r="P21" s="159" t="s">
        <v>10</v>
      </c>
      <c r="Q21" s="159" t="s">
        <v>11</v>
      </c>
    </row>
    <row r="22" spans="1:17" ht="150.75" customHeight="1" x14ac:dyDescent="0.3">
      <c r="A22" s="158"/>
      <c r="B22" s="36" t="s">
        <v>12</v>
      </c>
      <c r="C22" s="36" t="s">
        <v>13</v>
      </c>
      <c r="D22" s="36" t="s">
        <v>14</v>
      </c>
      <c r="E22" s="159"/>
      <c r="F22" s="159"/>
      <c r="G22" s="159"/>
      <c r="H22" s="159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60"/>
      <c r="Q22" s="160"/>
    </row>
    <row r="23" spans="1:17" ht="23.1" customHeight="1" x14ac:dyDescent="0.3">
      <c r="A23" s="39" t="s">
        <v>22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23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24</v>
      </c>
      <c r="B25" s="53"/>
      <c r="C25" s="39"/>
      <c r="D25" s="54"/>
      <c r="E25" s="53"/>
      <c r="F25" s="39"/>
      <c r="G25" s="39"/>
      <c r="H25" s="43" t="str">
        <f t="shared" si="5"/>
        <v xml:space="preserve"> </v>
      </c>
      <c r="I25" s="55"/>
      <c r="J25" s="55"/>
      <c r="K25" s="55" t="str">
        <f t="shared" si="6"/>
        <v/>
      </c>
      <c r="L25" s="56"/>
      <c r="M25" s="55"/>
      <c r="N25" s="55"/>
      <c r="O25" s="43" t="str">
        <f t="shared" si="7"/>
        <v/>
      </c>
      <c r="P25" s="56"/>
      <c r="Q25" s="43" t="str">
        <f t="shared" si="8"/>
        <v xml:space="preserve"> </v>
      </c>
    </row>
    <row r="26" spans="1:17" ht="23.1" customHeight="1" x14ac:dyDescent="0.3">
      <c r="A26" s="47" t="s">
        <v>25</v>
      </c>
      <c r="B26" s="48"/>
      <c r="C26" s="47"/>
      <c r="D26" s="49"/>
      <c r="E26" s="48"/>
      <c r="F26" s="47"/>
      <c r="G26" s="47"/>
      <c r="H26" s="50" t="str">
        <f t="shared" si="5"/>
        <v xml:space="preserve"> </v>
      </c>
      <c r="I26" s="51"/>
      <c r="J26" s="51"/>
      <c r="K26" s="51" t="str">
        <f t="shared" si="6"/>
        <v/>
      </c>
      <c r="L26" s="52"/>
      <c r="M26" s="51"/>
      <c r="N26" s="51"/>
      <c r="O26" s="50" t="str">
        <f t="shared" si="7"/>
        <v/>
      </c>
      <c r="P26" s="52"/>
      <c r="Q26" s="50" t="str">
        <f t="shared" si="8"/>
        <v xml:space="preserve"> </v>
      </c>
    </row>
    <row r="27" spans="1:17" s="23" customFormat="1" ht="30" customHeight="1" x14ac:dyDescent="0.25">
      <c r="A27" s="39" t="s">
        <v>26</v>
      </c>
      <c r="B27" s="53"/>
      <c r="C27" s="39"/>
      <c r="D27" s="54"/>
      <c r="E27" s="53"/>
      <c r="F27" s="39"/>
      <c r="G27" s="39"/>
      <c r="H27" s="43" t="str">
        <f t="shared" si="5"/>
        <v xml:space="preserve"> </v>
      </c>
      <c r="I27" s="55"/>
      <c r="J27" s="55"/>
      <c r="K27" s="55" t="str">
        <f t="shared" si="6"/>
        <v/>
      </c>
      <c r="L27" s="56"/>
      <c r="M27" s="55"/>
      <c r="N27" s="55"/>
      <c r="O27" s="43" t="str">
        <f t="shared" si="7"/>
        <v/>
      </c>
      <c r="P27" s="56"/>
      <c r="Q27" s="43" t="str">
        <f t="shared" si="8"/>
        <v xml:space="preserve"> </v>
      </c>
    </row>
    <row r="28" spans="1:17" ht="23.1" customHeight="1" x14ac:dyDescent="0.3">
      <c r="A28" s="47" t="s">
        <v>27</v>
      </c>
      <c r="B28" s="48"/>
      <c r="C28" s="47"/>
      <c r="D28" s="49"/>
      <c r="E28" s="48"/>
      <c r="F28" s="47"/>
      <c r="G28" s="47"/>
      <c r="H28" s="50" t="str">
        <f t="shared" si="5"/>
        <v xml:space="preserve"> </v>
      </c>
      <c r="I28" s="51"/>
      <c r="J28" s="51"/>
      <c r="K28" s="51" t="str">
        <f t="shared" si="6"/>
        <v/>
      </c>
      <c r="L28" s="52"/>
      <c r="M28" s="51"/>
      <c r="N28" s="51"/>
      <c r="O28" s="50" t="str">
        <f t="shared" si="7"/>
        <v/>
      </c>
      <c r="P28" s="52"/>
      <c r="Q28" s="50" t="str">
        <f t="shared" si="8"/>
        <v xml:space="preserve"> </v>
      </c>
    </row>
    <row r="29" spans="1:17" ht="23.1" customHeight="1" x14ac:dyDescent="0.3">
      <c r="A29" s="39" t="s">
        <v>28</v>
      </c>
      <c r="B29" s="53"/>
      <c r="C29" s="39"/>
      <c r="D29" s="54"/>
      <c r="E29" s="53"/>
      <c r="F29" s="39"/>
      <c r="G29" s="39"/>
      <c r="H29" s="43" t="str">
        <f t="shared" si="5"/>
        <v xml:space="preserve"> </v>
      </c>
      <c r="I29" s="55"/>
      <c r="J29" s="55"/>
      <c r="K29" s="55" t="str">
        <f t="shared" si="6"/>
        <v/>
      </c>
      <c r="L29" s="56"/>
      <c r="M29" s="55"/>
      <c r="N29" s="55"/>
      <c r="O29" s="43" t="str">
        <f t="shared" si="7"/>
        <v/>
      </c>
      <c r="P29" s="56"/>
      <c r="Q29" s="43" t="str">
        <f t="shared" si="8"/>
        <v xml:space="preserve"> </v>
      </c>
    </row>
    <row r="30" spans="1:17" ht="23.1" customHeight="1" x14ac:dyDescent="0.3">
      <c r="A30" s="47" t="s">
        <v>29</v>
      </c>
      <c r="B30" s="48"/>
      <c r="C30" s="47"/>
      <c r="D30" s="49"/>
      <c r="E30" s="48"/>
      <c r="F30" s="47"/>
      <c r="G30" s="47"/>
      <c r="H30" s="50" t="str">
        <f t="shared" si="5"/>
        <v xml:space="preserve"> </v>
      </c>
      <c r="I30" s="51"/>
      <c r="J30" s="51"/>
      <c r="K30" s="51" t="str">
        <f t="shared" si="6"/>
        <v/>
      </c>
      <c r="L30" s="52"/>
      <c r="M30" s="51"/>
      <c r="N30" s="51"/>
      <c r="O30" s="50" t="str">
        <f t="shared" si="7"/>
        <v/>
      </c>
      <c r="P30" s="52"/>
      <c r="Q30" s="50" t="str">
        <f t="shared" si="8"/>
        <v xml:space="preserve"> </v>
      </c>
    </row>
    <row r="31" spans="1:17" ht="23.1" customHeight="1" x14ac:dyDescent="0.3">
      <c r="A31" s="39" t="s">
        <v>30</v>
      </c>
      <c r="B31" s="53"/>
      <c r="C31" s="39"/>
      <c r="D31" s="54"/>
      <c r="E31" s="53"/>
      <c r="F31" s="39"/>
      <c r="G31" s="39"/>
      <c r="H31" s="43" t="str">
        <f t="shared" si="5"/>
        <v xml:space="preserve"> </v>
      </c>
      <c r="I31" s="55"/>
      <c r="J31" s="55"/>
      <c r="K31" s="55" t="str">
        <f t="shared" si="6"/>
        <v/>
      </c>
      <c r="L31" s="56"/>
      <c r="M31" s="55"/>
      <c r="N31" s="55"/>
      <c r="O31" s="43" t="str">
        <f t="shared" si="7"/>
        <v/>
      </c>
      <c r="P31" s="56"/>
      <c r="Q31" s="43" t="str">
        <f t="shared" si="8"/>
        <v xml:space="preserve"> </v>
      </c>
    </row>
    <row r="32" spans="1:17" ht="23.1" customHeight="1" x14ac:dyDescent="0.3">
      <c r="A32" s="47" t="s">
        <v>31</v>
      </c>
      <c r="B32" s="48"/>
      <c r="C32" s="47"/>
      <c r="D32" s="49"/>
      <c r="E32" s="48"/>
      <c r="F32" s="47"/>
      <c r="G32" s="47"/>
      <c r="H32" s="50" t="str">
        <f t="shared" si="5"/>
        <v xml:space="preserve"> </v>
      </c>
      <c r="I32" s="51"/>
      <c r="J32" s="51"/>
      <c r="K32" s="51" t="str">
        <f t="shared" si="6"/>
        <v/>
      </c>
      <c r="L32" s="52"/>
      <c r="M32" s="51"/>
      <c r="N32" s="51"/>
      <c r="O32" s="50" t="str">
        <f t="shared" si="7"/>
        <v/>
      </c>
      <c r="P32" s="52"/>
      <c r="Q32" s="50" t="str">
        <f t="shared" si="8"/>
        <v xml:space="preserve"> </v>
      </c>
    </row>
    <row r="33" spans="1:17" ht="23.1" customHeight="1" x14ac:dyDescent="0.3">
      <c r="A33" s="39" t="s">
        <v>32</v>
      </c>
      <c r="B33" s="53"/>
      <c r="C33" s="39"/>
      <c r="D33" s="54"/>
      <c r="E33" s="53"/>
      <c r="F33" s="39"/>
      <c r="G33" s="39"/>
      <c r="H33" s="43" t="str">
        <f t="shared" si="5"/>
        <v xml:space="preserve"> </v>
      </c>
      <c r="I33" s="55"/>
      <c r="J33" s="55"/>
      <c r="K33" s="55" t="str">
        <f t="shared" si="6"/>
        <v/>
      </c>
      <c r="L33" s="56"/>
      <c r="M33" s="55"/>
      <c r="N33" s="55"/>
      <c r="O33" s="43" t="str">
        <f t="shared" si="7"/>
        <v/>
      </c>
      <c r="P33" s="56"/>
      <c r="Q33" s="43" t="str">
        <f t="shared" si="8"/>
        <v xml:space="preserve"> </v>
      </c>
    </row>
    <row r="34" spans="1:17" ht="23.1" customHeight="1" x14ac:dyDescent="0.3">
      <c r="A34" s="47" t="s">
        <v>33</v>
      </c>
      <c r="B34" s="57"/>
      <c r="C34" s="58"/>
      <c r="D34" s="59"/>
      <c r="E34" s="57"/>
      <c r="F34" s="58"/>
      <c r="G34" s="58"/>
      <c r="H34" s="50" t="str">
        <f t="shared" si="5"/>
        <v xml:space="preserve"> </v>
      </c>
      <c r="I34" s="60"/>
      <c r="J34" s="60"/>
      <c r="K34" s="60" t="str">
        <f t="shared" si="6"/>
        <v/>
      </c>
      <c r="L34" s="61"/>
      <c r="M34" s="60"/>
      <c r="N34" s="60"/>
      <c r="O34" s="62" t="str">
        <f t="shared" si="7"/>
        <v/>
      </c>
      <c r="P34" s="61"/>
      <c r="Q34" s="62" t="str">
        <f t="shared" si="8"/>
        <v xml:space="preserve"> </v>
      </c>
    </row>
    <row r="35" spans="1:17" ht="23.1" customHeight="1" x14ac:dyDescent="0.3">
      <c r="A35" s="63" t="s">
        <v>34</v>
      </c>
      <c r="B35" s="64">
        <f t="shared" ref="B35:G35" si="9">SUM(B23:B34)</f>
        <v>0</v>
      </c>
      <c r="C35" s="64">
        <f t="shared" si="9"/>
        <v>0</v>
      </c>
      <c r="D35" s="64">
        <f t="shared" si="9"/>
        <v>0</v>
      </c>
      <c r="E35" s="64">
        <f t="shared" si="9"/>
        <v>0</v>
      </c>
      <c r="F35" s="64">
        <f t="shared" si="9"/>
        <v>0</v>
      </c>
      <c r="G35" s="64">
        <f t="shared" si="9"/>
        <v>0</v>
      </c>
      <c r="H35" s="65" t="str">
        <f t="shared" si="5"/>
        <v xml:space="preserve"> </v>
      </c>
      <c r="I35" s="66">
        <f>SUM(I23:I34)</f>
        <v>0</v>
      </c>
      <c r="J35" s="66">
        <f>SUM(J23:J34)</f>
        <v>0</v>
      </c>
      <c r="K35" s="66">
        <f t="shared" si="6"/>
        <v>0</v>
      </c>
      <c r="L35" s="66">
        <f>SUM(L23:L34)</f>
        <v>0</v>
      </c>
      <c r="M35" s="66">
        <f>SUM(M23:M34)</f>
        <v>0</v>
      </c>
      <c r="N35" s="66">
        <f>SUM(N23:N34)</f>
        <v>0</v>
      </c>
      <c r="O35" s="66">
        <f t="shared" si="7"/>
        <v>0</v>
      </c>
      <c r="P35" s="66">
        <f>SUM(P23:P34)</f>
        <v>0</v>
      </c>
      <c r="Q35" s="66" t="str">
        <f t="shared" si="8"/>
        <v xml:space="preserve"> </v>
      </c>
    </row>
    <row r="36" spans="1:17" x14ac:dyDescent="0.3">
      <c r="A36" s="146" t="s">
        <v>35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</row>
    <row r="37" spans="1:17" x14ac:dyDescent="0.3">
      <c r="A37" s="148" t="s">
        <v>36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</row>
    <row r="38" spans="1:17" x14ac:dyDescent="0.3">
      <c r="A38" s="148" t="s">
        <v>37</v>
      </c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</row>
    <row r="39" spans="1:17" ht="40.5" customHeight="1" x14ac:dyDescent="0.3">
      <c r="A39" s="155">
        <v>2021</v>
      </c>
      <c r="B39" s="155"/>
      <c r="C39" s="156" t="s">
        <v>39</v>
      </c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7" t="s">
        <v>1</v>
      </c>
      <c r="P39" s="157"/>
      <c r="Q39" s="157"/>
    </row>
    <row r="40" spans="1:17" ht="28.9" customHeight="1" x14ac:dyDescent="0.3">
      <c r="A40" s="152" t="s">
        <v>2</v>
      </c>
      <c r="B40" s="152" t="s">
        <v>3</v>
      </c>
      <c r="C40" s="152"/>
      <c r="D40" s="152"/>
      <c r="E40" s="153" t="s">
        <v>4</v>
      </c>
      <c r="F40" s="153" t="s">
        <v>5</v>
      </c>
      <c r="G40" s="153" t="s">
        <v>6</v>
      </c>
      <c r="H40" s="153" t="s">
        <v>7</v>
      </c>
      <c r="I40" s="152" t="s">
        <v>8</v>
      </c>
      <c r="J40" s="152"/>
      <c r="K40" s="152"/>
      <c r="L40" s="152" t="s">
        <v>9</v>
      </c>
      <c r="M40" s="152"/>
      <c r="N40" s="152"/>
      <c r="O40" s="152"/>
      <c r="P40" s="153" t="s">
        <v>10</v>
      </c>
      <c r="Q40" s="153" t="s">
        <v>11</v>
      </c>
    </row>
    <row r="41" spans="1:17" ht="178.5" customHeight="1" x14ac:dyDescent="0.3">
      <c r="A41" s="152"/>
      <c r="B41" s="67" t="s">
        <v>12</v>
      </c>
      <c r="C41" s="67" t="s">
        <v>13</v>
      </c>
      <c r="D41" s="67" t="s">
        <v>14</v>
      </c>
      <c r="E41" s="154"/>
      <c r="F41" s="154"/>
      <c r="G41" s="154"/>
      <c r="H41" s="154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54"/>
      <c r="Q41" s="154"/>
    </row>
    <row r="42" spans="1:17" ht="25.5" customHeight="1" x14ac:dyDescent="0.3">
      <c r="A42" s="69" t="s">
        <v>22</v>
      </c>
      <c r="B42" s="70">
        <v>69</v>
      </c>
      <c r="C42" s="71">
        <v>108.58</v>
      </c>
      <c r="D42" s="72">
        <v>73</v>
      </c>
      <c r="E42" s="70"/>
      <c r="F42" s="71"/>
      <c r="G42" s="71"/>
      <c r="H42" s="73" t="str">
        <f t="shared" ref="H42:H54" si="10">IFERROR(F42/G42*100," ")</f>
        <v xml:space="preserve"> </v>
      </c>
      <c r="I42" s="74">
        <v>1454.3790000000001</v>
      </c>
      <c r="J42" s="75"/>
      <c r="K42" s="73">
        <f>IF(AND(ISBLANK(I42),ISBLANK(J42))=TRUE,"",I42+J42)</f>
        <v>1454.3790000000001</v>
      </c>
      <c r="L42" s="74"/>
      <c r="M42" s="75">
        <v>1618</v>
      </c>
      <c r="N42" s="75"/>
      <c r="O42" s="73">
        <f>IF(AND(ISBLANK(L42),ISBLANK(M42),ISBLANK(N42))=TRUE,"",L42+M42+N42)</f>
        <v>1618</v>
      </c>
      <c r="P42" s="74">
        <v>2293</v>
      </c>
      <c r="Q42" s="73">
        <f>IFERROR(O42/P42*100," ")</f>
        <v>70.562581770606187</v>
      </c>
    </row>
    <row r="43" spans="1:17" ht="25.5" customHeight="1" x14ac:dyDescent="0.3">
      <c r="A43" s="76" t="s">
        <v>23</v>
      </c>
      <c r="B43" s="77">
        <v>86</v>
      </c>
      <c r="C43" s="78">
        <v>139.15</v>
      </c>
      <c r="D43" s="79">
        <v>93</v>
      </c>
      <c r="E43" s="77"/>
      <c r="F43" s="78"/>
      <c r="G43" s="78"/>
      <c r="H43" s="80" t="str">
        <f t="shared" si="10"/>
        <v xml:space="preserve"> </v>
      </c>
      <c r="I43" s="81">
        <v>1763.2419999999995</v>
      </c>
      <c r="J43" s="82"/>
      <c r="K43" s="80">
        <f t="shared" ref="K43:K54" si="11">IF(AND(ISBLANK(I43),ISBLANK(J43))=TRUE,"",I43+J43)</f>
        <v>1763.2419999999995</v>
      </c>
      <c r="L43" s="81"/>
      <c r="M43" s="82">
        <v>1978</v>
      </c>
      <c r="N43" s="82"/>
      <c r="O43" s="80">
        <f t="shared" ref="O43:O54" si="12">IF(AND(ISBLANK(L43),ISBLANK(M43),ISBLANK(N43))=TRUE,"",L43+M43+N43)</f>
        <v>1978</v>
      </c>
      <c r="P43" s="81">
        <v>2950</v>
      </c>
      <c r="Q43" s="80">
        <f t="shared" ref="Q43:Q54" si="13">IFERROR(O43/P43*100," ")</f>
        <v>67.050847457627114</v>
      </c>
    </row>
    <row r="44" spans="1:17" ht="25.5" customHeight="1" x14ac:dyDescent="0.3">
      <c r="A44" s="69" t="s">
        <v>24</v>
      </c>
      <c r="B44" s="83">
        <v>93</v>
      </c>
      <c r="C44" s="84">
        <v>145.08000000000001</v>
      </c>
      <c r="D44" s="85">
        <v>101</v>
      </c>
      <c r="E44" s="83"/>
      <c r="F44" s="84"/>
      <c r="G44" s="84"/>
      <c r="H44" s="86" t="str">
        <f t="shared" si="10"/>
        <v xml:space="preserve"> </v>
      </c>
      <c r="I44" s="87">
        <v>2198.3959999999997</v>
      </c>
      <c r="J44" s="88"/>
      <c r="K44" s="86">
        <f t="shared" si="11"/>
        <v>2198.3959999999997</v>
      </c>
      <c r="L44" s="87"/>
      <c r="M44" s="88">
        <v>2462</v>
      </c>
      <c r="N44" s="88"/>
      <c r="O44" s="86">
        <f t="shared" si="12"/>
        <v>2462</v>
      </c>
      <c r="P44" s="87">
        <v>3181</v>
      </c>
      <c r="Q44" s="86">
        <f t="shared" si="13"/>
        <v>77.397044954416856</v>
      </c>
    </row>
    <row r="45" spans="1:17" ht="25.5" customHeight="1" x14ac:dyDescent="0.3">
      <c r="A45" s="76" t="s">
        <v>25</v>
      </c>
      <c r="B45" s="77">
        <v>38</v>
      </c>
      <c r="C45" s="89">
        <v>48.415999999999997</v>
      </c>
      <c r="D45" s="79">
        <v>40</v>
      </c>
      <c r="E45" s="77"/>
      <c r="F45" s="78"/>
      <c r="G45" s="78"/>
      <c r="H45" s="80" t="str">
        <f t="shared" si="10"/>
        <v xml:space="preserve"> </v>
      </c>
      <c r="I45" s="81">
        <v>783.59299999999996</v>
      </c>
      <c r="J45" s="82"/>
      <c r="K45" s="80">
        <f t="shared" si="11"/>
        <v>783.59299999999996</v>
      </c>
      <c r="L45" s="81"/>
      <c r="M45" s="82">
        <v>862</v>
      </c>
      <c r="N45" s="82"/>
      <c r="O45" s="80">
        <f t="shared" si="12"/>
        <v>862</v>
      </c>
      <c r="P45" s="81">
        <v>1269</v>
      </c>
      <c r="Q45" s="80">
        <f t="shared" si="13"/>
        <v>67.927501970055161</v>
      </c>
    </row>
    <row r="46" spans="1:17" ht="25.5" customHeight="1" x14ac:dyDescent="0.3">
      <c r="A46" s="69" t="s">
        <v>26</v>
      </c>
      <c r="B46" s="83">
        <v>50</v>
      </c>
      <c r="C46" s="90">
        <v>0</v>
      </c>
      <c r="D46" s="85">
        <v>56</v>
      </c>
      <c r="E46" s="83"/>
      <c r="F46" s="84"/>
      <c r="G46" s="84"/>
      <c r="H46" s="86" t="str">
        <f t="shared" si="10"/>
        <v xml:space="preserve"> </v>
      </c>
      <c r="I46" s="87">
        <v>930.69999999999982</v>
      </c>
      <c r="J46" s="88"/>
      <c r="K46" s="86">
        <f t="shared" si="11"/>
        <v>930.69999999999982</v>
      </c>
      <c r="L46" s="87"/>
      <c r="M46" s="88">
        <v>1060</v>
      </c>
      <c r="N46" s="88"/>
      <c r="O46" s="86">
        <f t="shared" si="12"/>
        <v>1060</v>
      </c>
      <c r="P46" s="87">
        <v>1722</v>
      </c>
      <c r="Q46" s="86">
        <f t="shared" si="13"/>
        <v>61.556329849012783</v>
      </c>
    </row>
    <row r="47" spans="1:17" ht="25.5" customHeight="1" x14ac:dyDescent="0.3">
      <c r="A47" s="76" t="s">
        <v>27</v>
      </c>
      <c r="B47" s="91">
        <v>45</v>
      </c>
      <c r="C47" s="92">
        <v>81.099999999999994</v>
      </c>
      <c r="D47" s="79">
        <v>50</v>
      </c>
      <c r="E47" s="91"/>
      <c r="F47" s="92"/>
      <c r="G47" s="92"/>
      <c r="H47" s="80" t="str">
        <f t="shared" si="10"/>
        <v xml:space="preserve"> </v>
      </c>
      <c r="I47" s="93">
        <v>864.30199999999991</v>
      </c>
      <c r="J47" s="94"/>
      <c r="K47" s="80">
        <f t="shared" si="11"/>
        <v>864.30199999999991</v>
      </c>
      <c r="L47" s="93"/>
      <c r="M47" s="94">
        <v>985</v>
      </c>
      <c r="N47" s="94"/>
      <c r="O47" s="80">
        <f t="shared" si="12"/>
        <v>985</v>
      </c>
      <c r="P47" s="93">
        <v>1518</v>
      </c>
      <c r="Q47" s="80">
        <f t="shared" si="13"/>
        <v>64.888010540184453</v>
      </c>
    </row>
    <row r="48" spans="1:17" s="102" customFormat="1" ht="25.5" customHeight="1" x14ac:dyDescent="0.3">
      <c r="A48" s="95" t="s">
        <v>28</v>
      </c>
      <c r="B48" s="96">
        <v>91</v>
      </c>
      <c r="C48" s="97">
        <v>155.44999999999999</v>
      </c>
      <c r="D48" s="98">
        <v>103</v>
      </c>
      <c r="E48" s="96"/>
      <c r="F48" s="97"/>
      <c r="G48" s="97"/>
      <c r="H48" s="99" t="str">
        <f t="shared" si="10"/>
        <v xml:space="preserve"> </v>
      </c>
      <c r="I48" s="100">
        <v>1773.0580000000004</v>
      </c>
      <c r="J48" s="101"/>
      <c r="K48" s="99">
        <f t="shared" si="11"/>
        <v>1773.0580000000004</v>
      </c>
      <c r="L48" s="100"/>
      <c r="M48" s="101">
        <v>2081</v>
      </c>
      <c r="N48" s="101"/>
      <c r="O48" s="99">
        <f t="shared" si="12"/>
        <v>2081</v>
      </c>
      <c r="P48" s="100">
        <v>3171</v>
      </c>
      <c r="Q48" s="99">
        <f t="shared" si="13"/>
        <v>65.625985493535168</v>
      </c>
    </row>
    <row r="49" spans="1:17" ht="25.5" customHeight="1" x14ac:dyDescent="0.3">
      <c r="A49" s="76" t="s">
        <v>29</v>
      </c>
      <c r="B49" s="91">
        <v>66</v>
      </c>
      <c r="C49" s="92">
        <v>74.2</v>
      </c>
      <c r="D49" s="103">
        <v>74</v>
      </c>
      <c r="E49" s="91"/>
      <c r="F49" s="92"/>
      <c r="G49" s="92"/>
      <c r="H49" s="80" t="str">
        <f t="shared" si="10"/>
        <v xml:space="preserve"> </v>
      </c>
      <c r="I49" s="93">
        <v>1406.838</v>
      </c>
      <c r="J49" s="94"/>
      <c r="K49" s="80">
        <f t="shared" si="11"/>
        <v>1406.838</v>
      </c>
      <c r="L49" s="93"/>
      <c r="M49" s="94">
        <v>1605</v>
      </c>
      <c r="N49" s="94"/>
      <c r="O49" s="80">
        <f t="shared" si="12"/>
        <v>1605</v>
      </c>
      <c r="P49" s="93">
        <v>2256</v>
      </c>
      <c r="Q49" s="80">
        <f t="shared" si="13"/>
        <v>71.143617021276597</v>
      </c>
    </row>
    <row r="50" spans="1:17" ht="25.5" customHeight="1" x14ac:dyDescent="0.3">
      <c r="A50" s="69" t="s">
        <v>30</v>
      </c>
      <c r="B50" s="104">
        <v>89</v>
      </c>
      <c r="C50" s="105">
        <v>136.19999999999999</v>
      </c>
      <c r="D50" s="106">
        <v>113</v>
      </c>
      <c r="E50" s="104"/>
      <c r="F50" s="105"/>
      <c r="G50" s="105"/>
      <c r="H50" s="86" t="str">
        <f t="shared" si="10"/>
        <v xml:space="preserve"> </v>
      </c>
      <c r="I50" s="107">
        <v>1801.6480000000001</v>
      </c>
      <c r="J50" s="108"/>
      <c r="K50" s="86">
        <f t="shared" si="11"/>
        <v>1801.6480000000001</v>
      </c>
      <c r="L50" s="107"/>
      <c r="M50" s="108">
        <v>2271</v>
      </c>
      <c r="N50" s="108"/>
      <c r="O50" s="86">
        <f t="shared" si="12"/>
        <v>2271</v>
      </c>
      <c r="P50" s="107">
        <v>3463</v>
      </c>
      <c r="Q50" s="86">
        <f t="shared" si="13"/>
        <v>65.578977764943687</v>
      </c>
    </row>
    <row r="51" spans="1:17" ht="25.5" customHeight="1" x14ac:dyDescent="0.3">
      <c r="A51" s="76" t="s">
        <v>31</v>
      </c>
      <c r="B51" s="91">
        <v>133</v>
      </c>
      <c r="C51" s="92">
        <v>252.55</v>
      </c>
      <c r="D51" s="103">
        <v>178</v>
      </c>
      <c r="E51" s="91"/>
      <c r="F51" s="92"/>
      <c r="G51" s="92"/>
      <c r="H51" s="80" t="str">
        <f t="shared" si="10"/>
        <v xml:space="preserve"> </v>
      </c>
      <c r="I51" s="93">
        <v>2732.0790000000006</v>
      </c>
      <c r="J51" s="94"/>
      <c r="K51" s="80">
        <f t="shared" si="11"/>
        <v>2732.0790000000006</v>
      </c>
      <c r="L51" s="93"/>
      <c r="M51" s="94">
        <v>3604</v>
      </c>
      <c r="N51" s="94"/>
      <c r="O51" s="80">
        <f t="shared" si="12"/>
        <v>3604</v>
      </c>
      <c r="P51" s="93">
        <v>5511</v>
      </c>
      <c r="Q51" s="80">
        <f t="shared" si="13"/>
        <v>65.396479767737247</v>
      </c>
    </row>
    <row r="52" spans="1:17" ht="25.5" customHeight="1" x14ac:dyDescent="0.3">
      <c r="A52" s="69" t="s">
        <v>32</v>
      </c>
      <c r="B52" s="104">
        <v>97</v>
      </c>
      <c r="C52" s="105">
        <v>126.05</v>
      </c>
      <c r="D52" s="106">
        <v>117</v>
      </c>
      <c r="E52" s="104"/>
      <c r="F52" s="105"/>
      <c r="G52" s="105"/>
      <c r="H52" s="86" t="str">
        <f t="shared" si="10"/>
        <v xml:space="preserve"> </v>
      </c>
      <c r="I52" s="107">
        <v>1929.2080000000005</v>
      </c>
      <c r="J52" s="108"/>
      <c r="K52" s="86">
        <f t="shared" si="11"/>
        <v>1929.2080000000005</v>
      </c>
      <c r="L52" s="107"/>
      <c r="M52" s="108">
        <v>2347</v>
      </c>
      <c r="N52" s="108"/>
      <c r="O52" s="86">
        <f t="shared" si="12"/>
        <v>2347</v>
      </c>
      <c r="P52" s="107">
        <v>3612</v>
      </c>
      <c r="Q52" s="86">
        <f t="shared" si="13"/>
        <v>64.977851605758588</v>
      </c>
    </row>
    <row r="53" spans="1:17" ht="25.5" customHeight="1" x14ac:dyDescent="0.3">
      <c r="A53" s="76" t="s">
        <v>33</v>
      </c>
      <c r="B53" s="109">
        <v>109</v>
      </c>
      <c r="C53" s="110">
        <v>194.25</v>
      </c>
      <c r="D53" s="111">
        <v>136</v>
      </c>
      <c r="E53" s="109"/>
      <c r="F53" s="110"/>
      <c r="G53" s="110"/>
      <c r="H53" s="112" t="str">
        <f t="shared" si="10"/>
        <v xml:space="preserve"> </v>
      </c>
      <c r="I53" s="113">
        <v>1932.895</v>
      </c>
      <c r="J53" s="114"/>
      <c r="K53" s="112">
        <f t="shared" si="11"/>
        <v>1932.895</v>
      </c>
      <c r="L53" s="113"/>
      <c r="M53" s="114">
        <v>2408</v>
      </c>
      <c r="N53" s="114"/>
      <c r="O53" s="112">
        <f t="shared" si="12"/>
        <v>2408</v>
      </c>
      <c r="P53" s="113">
        <v>4093</v>
      </c>
      <c r="Q53" s="112">
        <f t="shared" si="13"/>
        <v>58.832152455411681</v>
      </c>
    </row>
    <row r="54" spans="1:17" ht="25.5" customHeight="1" x14ac:dyDescent="0.3">
      <c r="A54" s="115" t="s">
        <v>34</v>
      </c>
      <c r="B54" s="116">
        <f t="shared" ref="B54:G54" si="14">SUM(B42:B53)</f>
        <v>966</v>
      </c>
      <c r="C54" s="116">
        <f t="shared" si="14"/>
        <v>1461.0260000000001</v>
      </c>
      <c r="D54" s="116">
        <f t="shared" si="14"/>
        <v>1134</v>
      </c>
      <c r="E54" s="116">
        <f t="shared" si="14"/>
        <v>0</v>
      </c>
      <c r="F54" s="116">
        <f t="shared" si="14"/>
        <v>0</v>
      </c>
      <c r="G54" s="116">
        <f t="shared" si="14"/>
        <v>0</v>
      </c>
      <c r="H54" s="117" t="str">
        <f t="shared" si="10"/>
        <v xml:space="preserve"> </v>
      </c>
      <c r="I54" s="117">
        <f>SUM(I42:I53)</f>
        <v>19570.338</v>
      </c>
      <c r="J54" s="117">
        <f>SUM(J42:J53)</f>
        <v>0</v>
      </c>
      <c r="K54" s="117">
        <f t="shared" si="11"/>
        <v>19570.338</v>
      </c>
      <c r="L54" s="117">
        <f>SUM(L42:L53)</f>
        <v>0</v>
      </c>
      <c r="M54" s="117">
        <f>SUM(M42:M53)</f>
        <v>23281</v>
      </c>
      <c r="N54" s="117">
        <f>SUM(N42:N53)</f>
        <v>0</v>
      </c>
      <c r="O54" s="117">
        <f t="shared" si="12"/>
        <v>23281</v>
      </c>
      <c r="P54" s="118">
        <f>SUM(P42:P53)</f>
        <v>35039</v>
      </c>
      <c r="Q54" s="117">
        <f t="shared" si="13"/>
        <v>66.44310625303234</v>
      </c>
    </row>
    <row r="55" spans="1:17" ht="22.5" customHeight="1" x14ac:dyDescent="0.3">
      <c r="A55" s="146" t="s">
        <v>35</v>
      </c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</row>
    <row r="56" spans="1:17" ht="22.5" customHeight="1" x14ac:dyDescent="0.3">
      <c r="A56" s="148" t="s">
        <v>36</v>
      </c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</row>
    <row r="57" spans="1:17" ht="22.5" customHeight="1" x14ac:dyDescent="0.3">
      <c r="A57" s="148" t="s">
        <v>37</v>
      </c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</row>
    <row r="58" spans="1:17" ht="47.25" customHeight="1" x14ac:dyDescent="0.3">
      <c r="A58" s="149">
        <v>2021</v>
      </c>
      <c r="B58" s="149"/>
      <c r="C58" s="150" t="s">
        <v>40</v>
      </c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1" t="s">
        <v>1</v>
      </c>
      <c r="P58" s="151"/>
      <c r="Q58" s="151"/>
    </row>
    <row r="59" spans="1:17" ht="28.9" customHeight="1" x14ac:dyDescent="0.3">
      <c r="A59" s="143" t="s">
        <v>2</v>
      </c>
      <c r="B59" s="143" t="s">
        <v>3</v>
      </c>
      <c r="C59" s="143"/>
      <c r="D59" s="143"/>
      <c r="E59" s="144" t="s">
        <v>4</v>
      </c>
      <c r="F59" s="144" t="s">
        <v>5</v>
      </c>
      <c r="G59" s="144" t="s">
        <v>6</v>
      </c>
      <c r="H59" s="144" t="s">
        <v>7</v>
      </c>
      <c r="I59" s="143" t="s">
        <v>8</v>
      </c>
      <c r="J59" s="143"/>
      <c r="K59" s="143"/>
      <c r="L59" s="143" t="s">
        <v>9</v>
      </c>
      <c r="M59" s="143"/>
      <c r="N59" s="143"/>
      <c r="O59" s="143"/>
      <c r="P59" s="144" t="s">
        <v>10</v>
      </c>
      <c r="Q59" s="144" t="s">
        <v>11</v>
      </c>
    </row>
    <row r="60" spans="1:17" ht="164.25" customHeight="1" x14ac:dyDescent="0.3">
      <c r="A60" s="143"/>
      <c r="B60" s="119" t="s">
        <v>12</v>
      </c>
      <c r="C60" s="119" t="s">
        <v>13</v>
      </c>
      <c r="D60" s="119" t="s">
        <v>14</v>
      </c>
      <c r="E60" s="145"/>
      <c r="F60" s="145"/>
      <c r="G60" s="145"/>
      <c r="H60" s="145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45"/>
      <c r="Q60" s="145"/>
    </row>
    <row r="61" spans="1:17" ht="24.75" customHeight="1" x14ac:dyDescent="0.3">
      <c r="A61" s="121" t="s">
        <v>22</v>
      </c>
      <c r="B61" s="122">
        <v>2</v>
      </c>
      <c r="C61" s="123">
        <v>5</v>
      </c>
      <c r="D61" s="124">
        <v>6.92</v>
      </c>
      <c r="E61" s="122"/>
      <c r="F61" s="123"/>
      <c r="G61" s="123"/>
      <c r="H61" s="125" t="str">
        <f t="shared" ref="H61:H73" si="15">IFERROR(F61/G61*100," ")</f>
        <v xml:space="preserve"> </v>
      </c>
      <c r="I61" s="126">
        <v>15.081</v>
      </c>
      <c r="J61" s="127"/>
      <c r="K61" s="127">
        <f>IF(AND(ISBLANK(I61),ISBLANK(J61))=TRUE,"",I61+J61)</f>
        <v>15.081</v>
      </c>
      <c r="L61" s="126"/>
      <c r="M61" s="127">
        <v>46</v>
      </c>
      <c r="N61" s="127"/>
      <c r="O61" s="128">
        <f>IF(AND(ISBLANK(L61),ISBLANK(M61),ISBLANK(N61))=TRUE,"",L61+M61+N61)</f>
        <v>46</v>
      </c>
      <c r="P61" s="127">
        <v>151</v>
      </c>
      <c r="Q61" s="125">
        <f>IFERROR(O61/P61*100," ")</f>
        <v>30.463576158940398</v>
      </c>
    </row>
    <row r="62" spans="1:17" ht="24.75" customHeight="1" x14ac:dyDescent="0.3">
      <c r="A62" s="76" t="s">
        <v>23</v>
      </c>
      <c r="B62" s="91">
        <v>4</v>
      </c>
      <c r="C62" s="92">
        <v>14</v>
      </c>
      <c r="D62" s="103">
        <v>10</v>
      </c>
      <c r="E62" s="91"/>
      <c r="F62" s="92"/>
      <c r="G62" s="92"/>
      <c r="H62" s="129" t="str">
        <f t="shared" si="15"/>
        <v xml:space="preserve"> </v>
      </c>
      <c r="I62" s="93">
        <v>38.147999999999996</v>
      </c>
      <c r="J62" s="94"/>
      <c r="K62" s="94">
        <f t="shared" ref="K62:K73" si="16">IF(AND(ISBLANK(I62),ISBLANK(J62))=TRUE,"",I62+J62)</f>
        <v>38.147999999999996</v>
      </c>
      <c r="L62" s="93"/>
      <c r="M62" s="94">
        <v>118</v>
      </c>
      <c r="N62" s="94"/>
      <c r="O62" s="80">
        <f t="shared" ref="O62:O73" si="17">IF(AND(ISBLANK(L62),ISBLANK(M62),ISBLANK(N62))=TRUE,"",L62+M62+N62)</f>
        <v>118</v>
      </c>
      <c r="P62" s="94">
        <v>305</v>
      </c>
      <c r="Q62" s="129">
        <f t="shared" ref="Q62:Q73" si="18">IFERROR(O62/P62*100," ")</f>
        <v>38.688524590163937</v>
      </c>
    </row>
    <row r="63" spans="1:17" ht="24.75" customHeight="1" x14ac:dyDescent="0.3">
      <c r="A63" s="121" t="s">
        <v>24</v>
      </c>
      <c r="B63" s="130">
        <v>6</v>
      </c>
      <c r="C63" s="131">
        <v>1.33</v>
      </c>
      <c r="D63" s="132">
        <v>2</v>
      </c>
      <c r="E63" s="130"/>
      <c r="F63" s="131"/>
      <c r="G63" s="131"/>
      <c r="H63" s="133" t="str">
        <f t="shared" si="15"/>
        <v xml:space="preserve"> </v>
      </c>
      <c r="I63" s="134">
        <v>100.396</v>
      </c>
      <c r="J63" s="135"/>
      <c r="K63" s="135">
        <f t="shared" si="16"/>
        <v>100.396</v>
      </c>
      <c r="L63" s="134"/>
      <c r="M63" s="135">
        <v>24</v>
      </c>
      <c r="N63" s="135"/>
      <c r="O63" s="136">
        <f t="shared" si="17"/>
        <v>24</v>
      </c>
      <c r="P63" s="135">
        <v>50</v>
      </c>
      <c r="Q63" s="133">
        <f t="shared" si="18"/>
        <v>48</v>
      </c>
    </row>
    <row r="64" spans="1:17" ht="24.75" customHeight="1" x14ac:dyDescent="0.3">
      <c r="A64" s="76" t="s">
        <v>25</v>
      </c>
      <c r="B64" s="91">
        <v>4</v>
      </c>
      <c r="C64" s="92">
        <v>2.4</v>
      </c>
      <c r="D64" s="103">
        <v>1</v>
      </c>
      <c r="E64" s="91"/>
      <c r="F64" s="92"/>
      <c r="G64" s="92"/>
      <c r="H64" s="129" t="str">
        <f t="shared" si="15"/>
        <v xml:space="preserve"> </v>
      </c>
      <c r="I64" s="93">
        <v>67.471000000000004</v>
      </c>
      <c r="J64" s="94"/>
      <c r="K64" s="94">
        <f t="shared" si="16"/>
        <v>67.471000000000004</v>
      </c>
      <c r="L64" s="93"/>
      <c r="M64" s="94">
        <v>16</v>
      </c>
      <c r="N64" s="94"/>
      <c r="O64" s="80">
        <f t="shared" si="17"/>
        <v>16</v>
      </c>
      <c r="P64" s="94">
        <v>33</v>
      </c>
      <c r="Q64" s="129">
        <f t="shared" si="18"/>
        <v>48.484848484848484</v>
      </c>
    </row>
    <row r="65" spans="1:17" ht="24.75" customHeight="1" x14ac:dyDescent="0.3">
      <c r="A65" s="121" t="s">
        <v>26</v>
      </c>
      <c r="B65" s="130">
        <v>16</v>
      </c>
      <c r="C65" s="131">
        <v>62.35</v>
      </c>
      <c r="D65" s="132">
        <v>40</v>
      </c>
      <c r="E65" s="130"/>
      <c r="F65" s="131"/>
      <c r="G65" s="131"/>
      <c r="H65" s="133" t="str">
        <f t="shared" si="15"/>
        <v xml:space="preserve"> </v>
      </c>
      <c r="I65" s="134">
        <v>191.667</v>
      </c>
      <c r="J65" s="135"/>
      <c r="K65" s="135">
        <f t="shared" si="16"/>
        <v>191.667</v>
      </c>
      <c r="L65" s="134"/>
      <c r="M65" s="135">
        <v>341</v>
      </c>
      <c r="N65" s="135"/>
      <c r="O65" s="136">
        <f t="shared" si="17"/>
        <v>341</v>
      </c>
      <c r="P65" s="135">
        <v>1212</v>
      </c>
      <c r="Q65" s="133">
        <f t="shared" si="18"/>
        <v>28.135313531353134</v>
      </c>
    </row>
    <row r="66" spans="1:17" ht="24.75" customHeight="1" x14ac:dyDescent="0.3">
      <c r="A66" s="76" t="s">
        <v>27</v>
      </c>
      <c r="B66" s="91">
        <v>6</v>
      </c>
      <c r="C66" s="92">
        <v>17.2</v>
      </c>
      <c r="D66" s="103">
        <v>15</v>
      </c>
      <c r="E66" s="91"/>
      <c r="F66" s="92"/>
      <c r="G66" s="92"/>
      <c r="H66" s="129" t="str">
        <f t="shared" si="15"/>
        <v xml:space="preserve"> </v>
      </c>
      <c r="I66" s="93">
        <v>68.342999999999989</v>
      </c>
      <c r="J66" s="94"/>
      <c r="K66" s="94">
        <f t="shared" si="16"/>
        <v>68.342999999999989</v>
      </c>
      <c r="L66" s="93"/>
      <c r="M66" s="94">
        <v>114</v>
      </c>
      <c r="N66" s="94"/>
      <c r="O66" s="80">
        <f t="shared" si="17"/>
        <v>114</v>
      </c>
      <c r="P66" s="94">
        <v>481</v>
      </c>
      <c r="Q66" s="129">
        <f t="shared" si="18"/>
        <v>23.700623700623701</v>
      </c>
    </row>
    <row r="67" spans="1:17" ht="24.75" customHeight="1" x14ac:dyDescent="0.3">
      <c r="A67" s="121" t="s">
        <v>28</v>
      </c>
      <c r="B67" s="130"/>
      <c r="C67" s="131"/>
      <c r="D67" s="132"/>
      <c r="E67" s="130"/>
      <c r="F67" s="131"/>
      <c r="G67" s="131"/>
      <c r="H67" s="133" t="str">
        <f t="shared" si="15"/>
        <v xml:space="preserve"> </v>
      </c>
      <c r="I67" s="134"/>
      <c r="J67" s="135"/>
      <c r="K67" s="135" t="str">
        <f t="shared" si="16"/>
        <v/>
      </c>
      <c r="L67" s="134"/>
      <c r="M67" s="135"/>
      <c r="N67" s="135"/>
      <c r="O67" s="136" t="str">
        <f t="shared" si="17"/>
        <v/>
      </c>
      <c r="P67" s="135"/>
      <c r="Q67" s="133" t="str">
        <f t="shared" si="18"/>
        <v xml:space="preserve"> </v>
      </c>
    </row>
    <row r="68" spans="1:17" ht="24.75" customHeight="1" x14ac:dyDescent="0.3">
      <c r="A68" s="76" t="s">
        <v>29</v>
      </c>
      <c r="B68" s="91"/>
      <c r="C68" s="92"/>
      <c r="D68" s="103"/>
      <c r="E68" s="91"/>
      <c r="F68" s="92"/>
      <c r="G68" s="92"/>
      <c r="H68" s="129" t="str">
        <f t="shared" si="15"/>
        <v xml:space="preserve"> </v>
      </c>
      <c r="I68" s="93"/>
      <c r="J68" s="94"/>
      <c r="K68" s="94" t="str">
        <f t="shared" si="16"/>
        <v/>
      </c>
      <c r="L68" s="93"/>
      <c r="M68" s="94"/>
      <c r="N68" s="94"/>
      <c r="O68" s="80" t="str">
        <f t="shared" si="17"/>
        <v/>
      </c>
      <c r="P68" s="94"/>
      <c r="Q68" s="129" t="str">
        <f t="shared" si="18"/>
        <v xml:space="preserve"> </v>
      </c>
    </row>
    <row r="69" spans="1:17" ht="24.75" customHeight="1" x14ac:dyDescent="0.3">
      <c r="A69" s="121" t="s">
        <v>30</v>
      </c>
      <c r="B69" s="130">
        <v>33</v>
      </c>
      <c r="C69" s="131">
        <v>79.3</v>
      </c>
      <c r="D69" s="132">
        <v>81</v>
      </c>
      <c r="E69" s="130"/>
      <c r="F69" s="131"/>
      <c r="G69" s="131"/>
      <c r="H69" s="133" t="str">
        <f t="shared" si="15"/>
        <v xml:space="preserve"> </v>
      </c>
      <c r="I69" s="134">
        <v>572.18299999999999</v>
      </c>
      <c r="J69" s="135"/>
      <c r="K69" s="135">
        <f t="shared" si="16"/>
        <v>572.18299999999999</v>
      </c>
      <c r="L69" s="134"/>
      <c r="M69" s="135">
        <v>1290</v>
      </c>
      <c r="N69" s="135"/>
      <c r="O69" s="136">
        <f t="shared" si="17"/>
        <v>1290</v>
      </c>
      <c r="P69" s="135">
        <v>2397</v>
      </c>
      <c r="Q69" s="133">
        <f t="shared" si="18"/>
        <v>53.817271589486857</v>
      </c>
    </row>
    <row r="70" spans="1:17" ht="24.75" customHeight="1" x14ac:dyDescent="0.3">
      <c r="A70" s="76" t="s">
        <v>31</v>
      </c>
      <c r="B70" s="91">
        <v>42</v>
      </c>
      <c r="C70" s="92">
        <v>105.5</v>
      </c>
      <c r="D70" s="103">
        <v>104</v>
      </c>
      <c r="E70" s="91"/>
      <c r="F70" s="92"/>
      <c r="G70" s="92"/>
      <c r="H70" s="129" t="str">
        <f t="shared" si="15"/>
        <v xml:space="preserve"> </v>
      </c>
      <c r="I70" s="93">
        <v>745.89200000000005</v>
      </c>
      <c r="J70" s="94"/>
      <c r="K70" s="94">
        <f t="shared" si="16"/>
        <v>745.89200000000005</v>
      </c>
      <c r="L70" s="93"/>
      <c r="M70" s="94">
        <v>1730</v>
      </c>
      <c r="N70" s="94"/>
      <c r="O70" s="80">
        <f t="shared" si="17"/>
        <v>1730</v>
      </c>
      <c r="P70" s="94">
        <v>3100</v>
      </c>
      <c r="Q70" s="129">
        <f t="shared" si="18"/>
        <v>55.806451612903231</v>
      </c>
    </row>
    <row r="71" spans="1:17" ht="24.75" customHeight="1" x14ac:dyDescent="0.3">
      <c r="A71" s="121" t="s">
        <v>32</v>
      </c>
      <c r="B71" s="130">
        <v>43</v>
      </c>
      <c r="C71" s="131">
        <v>144.30000000000001</v>
      </c>
      <c r="D71" s="132">
        <v>114</v>
      </c>
      <c r="E71" s="130"/>
      <c r="F71" s="131"/>
      <c r="G71" s="131"/>
      <c r="H71" s="133" t="str">
        <f t="shared" si="15"/>
        <v xml:space="preserve"> </v>
      </c>
      <c r="I71" s="134">
        <v>619.93499999999983</v>
      </c>
      <c r="J71" s="135"/>
      <c r="K71" s="135">
        <f t="shared" si="16"/>
        <v>619.93499999999983</v>
      </c>
      <c r="L71" s="134"/>
      <c r="M71" s="135">
        <v>1554</v>
      </c>
      <c r="N71" s="135"/>
      <c r="O71" s="136">
        <f t="shared" si="17"/>
        <v>1554</v>
      </c>
      <c r="P71" s="135">
        <v>3323</v>
      </c>
      <c r="Q71" s="133">
        <f t="shared" si="18"/>
        <v>46.764971411375264</v>
      </c>
    </row>
    <row r="72" spans="1:17" ht="24.75" customHeight="1" x14ac:dyDescent="0.3">
      <c r="A72" s="76" t="s">
        <v>33</v>
      </c>
      <c r="B72" s="109">
        <v>61</v>
      </c>
      <c r="C72" s="110">
        <v>189.15</v>
      </c>
      <c r="D72" s="111">
        <v>156</v>
      </c>
      <c r="E72" s="109"/>
      <c r="F72" s="110"/>
      <c r="G72" s="110"/>
      <c r="H72" s="112" t="str">
        <f t="shared" si="15"/>
        <v xml:space="preserve"> </v>
      </c>
      <c r="I72" s="113">
        <v>863.14799999999991</v>
      </c>
      <c r="J72" s="114"/>
      <c r="K72" s="114">
        <f t="shared" si="16"/>
        <v>863.14799999999991</v>
      </c>
      <c r="L72" s="113"/>
      <c r="M72" s="114">
        <v>2049</v>
      </c>
      <c r="N72" s="114"/>
      <c r="O72" s="112">
        <f t="shared" si="17"/>
        <v>2049</v>
      </c>
      <c r="P72" s="114">
        <v>4805</v>
      </c>
      <c r="Q72" s="112">
        <f t="shared" si="18"/>
        <v>42.643080124869925</v>
      </c>
    </row>
    <row r="73" spans="1:17" ht="24.75" customHeight="1" x14ac:dyDescent="0.3">
      <c r="A73" s="137" t="s">
        <v>34</v>
      </c>
      <c r="B73" s="138">
        <f t="shared" ref="B73:G73" si="19">SUM(B61:B72)</f>
        <v>217</v>
      </c>
      <c r="C73" s="138">
        <f t="shared" si="19"/>
        <v>620.53</v>
      </c>
      <c r="D73" s="138">
        <f t="shared" si="19"/>
        <v>529.92000000000007</v>
      </c>
      <c r="E73" s="138">
        <f t="shared" si="19"/>
        <v>0</v>
      </c>
      <c r="F73" s="138">
        <f t="shared" si="19"/>
        <v>0</v>
      </c>
      <c r="G73" s="138">
        <f t="shared" si="19"/>
        <v>0</v>
      </c>
      <c r="H73" s="139" t="str">
        <f t="shared" si="15"/>
        <v xml:space="preserve"> </v>
      </c>
      <c r="I73" s="140">
        <f>SUM(I61:I72)</f>
        <v>3282.2640000000001</v>
      </c>
      <c r="J73" s="140">
        <f>SUM(J61:J72)</f>
        <v>0</v>
      </c>
      <c r="K73" s="140">
        <f t="shared" si="16"/>
        <v>3282.2640000000001</v>
      </c>
      <c r="L73" s="140">
        <f>SUM(L61:L72)</f>
        <v>0</v>
      </c>
      <c r="M73" s="140">
        <f>SUM(M61:M72)</f>
        <v>7282</v>
      </c>
      <c r="N73" s="140">
        <f>SUM(N61:N72)</f>
        <v>0</v>
      </c>
      <c r="O73" s="140">
        <f t="shared" si="17"/>
        <v>7282</v>
      </c>
      <c r="P73" s="140">
        <f>SUM(P61:P72)</f>
        <v>15857</v>
      </c>
      <c r="Q73" s="139">
        <f t="shared" si="18"/>
        <v>45.922936242668854</v>
      </c>
    </row>
    <row r="74" spans="1:17" x14ac:dyDescent="0.3">
      <c r="A74" s="146" t="s">
        <v>35</v>
      </c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</row>
    <row r="75" spans="1:17" x14ac:dyDescent="0.3">
      <c r="A75" s="148" t="s">
        <v>36</v>
      </c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</row>
    <row r="76" spans="1:17" x14ac:dyDescent="0.3">
      <c r="A76" s="148" t="s">
        <v>37</v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</row>
    <row r="77" spans="1:17" x14ac:dyDescent="0.3">
      <c r="A77" s="172" t="s">
        <v>42</v>
      </c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5">
    <mergeCell ref="A77:Q7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2022-02-17T11:34:22Z</dcterms:created>
  <dcterms:modified xsi:type="dcterms:W3CDTF">2022-02-22T10:34:22Z</dcterms:modified>
</cp:coreProperties>
</file>