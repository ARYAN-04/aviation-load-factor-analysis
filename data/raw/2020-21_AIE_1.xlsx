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rti\Downloads\put up\put up\final -Traffic Data Tables for Scheduled Airlines\Traffic Data Tables for Scheduled Airlines\04. AIR INDIA EXPRESS\"/>
    </mc:Choice>
  </mc:AlternateContent>
  <bookViews>
    <workbookView xWindow="0" yWindow="0" windowWidth="24000" windowHeight="9435"/>
  </bookViews>
  <sheets>
    <sheet name="AIR INDIA EXPRESS" sheetId="8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Q7" i="8" l="1"/>
  <c r="Q8" i="8"/>
  <c r="Q9" i="8"/>
  <c r="Q10" i="8"/>
  <c r="Q11" i="8"/>
  <c r="Q12" i="8"/>
  <c r="Q13" i="8"/>
  <c r="Q14" i="8"/>
  <c r="Q15" i="8"/>
  <c r="Q16" i="8"/>
  <c r="Q17" i="8"/>
  <c r="G18" i="8" l="1"/>
  <c r="C18" i="8"/>
  <c r="D18" i="8"/>
  <c r="E18" i="8"/>
  <c r="F18" i="8"/>
  <c r="B18" i="8"/>
  <c r="H7" i="8" l="1"/>
  <c r="H8" i="8"/>
  <c r="H9" i="8"/>
  <c r="H10" i="8"/>
  <c r="H11" i="8"/>
  <c r="H12" i="8"/>
  <c r="H13" i="8"/>
  <c r="H14" i="8"/>
  <c r="H15" i="8"/>
  <c r="H16" i="8"/>
  <c r="H17" i="8"/>
  <c r="H18" i="8"/>
  <c r="P18" i="8" l="1"/>
  <c r="O18" i="8"/>
  <c r="N18" i="8"/>
  <c r="M18" i="8"/>
  <c r="L18" i="8"/>
  <c r="K18" i="8"/>
  <c r="J18" i="8"/>
  <c r="I18" i="8"/>
  <c r="Q18" i="8" l="1"/>
</calcChain>
</file>

<file path=xl/sharedStrings.xml><?xml version="1.0" encoding="utf-8"?>
<sst xmlns="http://schemas.openxmlformats.org/spreadsheetml/2006/main" count="26" uniqueCount="24">
  <si>
    <t>MONTH</t>
  </si>
  <si>
    <t>AIRCRAFT FLOWN</t>
  </si>
  <si>
    <t xml:space="preserve">    PASSENGERS</t>
  </si>
  <si>
    <t>AVAILABLE SEAT KILOMETERS (MILLION)</t>
  </si>
  <si>
    <t xml:space="preserve"> PAX. LOAD FACTOR (%)</t>
  </si>
  <si>
    <t xml:space="preserve"> CARGO CARRIED (TON)</t>
  </si>
  <si>
    <t xml:space="preserve">    TON  KMS. PERFORMED (MILLION)</t>
  </si>
  <si>
    <t>AVAILABLE TONNE KILOMETERS (MILLION)</t>
  </si>
  <si>
    <t xml:space="preserve"> WEIGHT LOAD FACTOR (%)</t>
  </si>
  <si>
    <t>DEPARTURES (NOS.)</t>
  </si>
  <si>
    <t>HOURS (NOS.)</t>
  </si>
  <si>
    <t xml:space="preserve">  KMS. (THOUSANDS)</t>
  </si>
  <si>
    <t>CARRIED (NOS.)</t>
  </si>
  <si>
    <t>KMS.PERFORMED (MILLION)</t>
  </si>
  <si>
    <t xml:space="preserve"> FREIGHT </t>
  </si>
  <si>
    <t xml:space="preserve"> MAIL</t>
  </si>
  <si>
    <t xml:space="preserve"> TOTAL</t>
  </si>
  <si>
    <t xml:space="preserve"> PAX.</t>
  </si>
  <si>
    <t>FREIGHT</t>
  </si>
  <si>
    <t xml:space="preserve">तालिका 1.01 (एयर इंडिया एक्सप्रेस) </t>
  </si>
  <si>
    <t>Table 1.01 ( AIR INDIA EXPRESS)</t>
  </si>
  <si>
    <t>SOURCE:-  ICAO ATR FORM 'A' FURNISHED BY AIR INDIA EXPRESS</t>
  </si>
  <si>
    <t>2020-21</t>
  </si>
  <si>
    <t>MONTHLY TRAFFIC AND OPERATING STATISTICS OF AIR INDIA EXPRESS ON SCHEDULED DOMESTIC SERVICES DURING 2020-21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</si>
</sst>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_(* #,##0.00_);_(* \(#,##0.00\);_(* &quot;-&quot;??_);_(@_)"/>
    <numFmt numFmtId="165" formatCode="_(* #,##0_);_(* \(#,##0\);_(* &quot;-&quot;??_);_(@_)"/>
    <numFmt numFmtId="166" formatCode="_(* #,##0.0_);_(* \(#,##0.0\);_(* &quot;-&quot;??_);_(@_)"/>
    <numFmt numFmtId="167" formatCode="#,##0.0"/>
    <numFmt numFmtId="168" formatCode="[$-1010409]mmmm/yy;@"/>
  </numFmts>
  <fonts count="6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164" fontId="3" fillId="0" borderId="0" applyFont="0" applyFill="0" applyBorder="0" applyAlignment="0" applyProtection="0"/>
    <xf numFmtId="0" fontId="5" fillId="3" borderId="0" applyNumberFormat="0" applyBorder="0" applyAlignment="0" applyProtection="0"/>
    <xf numFmtId="0" fontId="3" fillId="4" borderId="0" applyNumberFormat="0" applyBorder="0" applyAlignment="0" applyProtection="0"/>
  </cellStyleXfs>
  <cellXfs count="22">
    <xf numFmtId="0" fontId="0" fillId="0" borderId="0" xfId="0"/>
    <xf numFmtId="0" fontId="4" fillId="4" borderId="1" xfId="3" applyFont="1" applyBorder="1" applyAlignment="1" applyProtection="1">
      <alignment horizontal="center" vertical="center" wrapText="1"/>
    </xf>
    <xf numFmtId="165" fontId="3" fillId="4" borderId="1" xfId="3" applyNumberFormat="1" applyBorder="1" applyAlignment="1">
      <alignment horizontal="right" vertical="center"/>
    </xf>
    <xf numFmtId="165" fontId="0" fillId="0" borderId="1" xfId="1" applyNumberFormat="1" applyFont="1" applyBorder="1" applyAlignment="1">
      <alignment horizontal="right" vertical="center"/>
    </xf>
    <xf numFmtId="3" fontId="4" fillId="4" borderId="1" xfId="3" applyNumberFormat="1" applyFont="1" applyBorder="1" applyAlignment="1" applyProtection="1">
      <alignment horizontal="right" vertical="center" wrapText="1"/>
    </xf>
    <xf numFmtId="166" fontId="3" fillId="4" borderId="1" xfId="3" applyNumberFormat="1" applyBorder="1" applyAlignment="1">
      <alignment horizontal="right" vertical="center"/>
    </xf>
    <xf numFmtId="166" fontId="0" fillId="0" borderId="1" xfId="1" applyNumberFormat="1" applyFont="1" applyBorder="1" applyAlignment="1">
      <alignment horizontal="right" vertical="center"/>
    </xf>
    <xf numFmtId="167" fontId="4" fillId="4" borderId="1" xfId="3" applyNumberFormat="1" applyFont="1" applyBorder="1" applyAlignment="1" applyProtection="1">
      <alignment horizontal="right" vertical="center" wrapText="1"/>
    </xf>
    <xf numFmtId="0" fontId="2" fillId="3" borderId="1" xfId="2" applyFont="1" applyBorder="1" applyAlignment="1" applyProtection="1">
      <alignment horizontal="center" vertical="center" textRotation="90" wrapText="1"/>
    </xf>
    <xf numFmtId="166" fontId="4" fillId="4" borderId="1" xfId="3" applyNumberFormat="1" applyFont="1" applyBorder="1" applyAlignment="1" applyProtection="1">
      <alignment horizontal="right" vertical="center" wrapText="1"/>
    </xf>
    <xf numFmtId="0" fontId="2" fillId="3" borderId="1" xfId="2" applyFont="1" applyBorder="1" applyAlignment="1" applyProtection="1">
      <alignment horizontal="center" vertical="center" textRotation="90" wrapText="1"/>
    </xf>
    <xf numFmtId="0" fontId="2" fillId="3" borderId="1" xfId="2" applyFont="1" applyBorder="1" applyAlignment="1">
      <alignment textRotation="90"/>
    </xf>
    <xf numFmtId="0" fontId="1" fillId="2" borderId="2" xfId="0" applyFont="1" applyFill="1" applyBorder="1" applyAlignment="1" applyProtection="1">
      <alignment horizontal="left" vertical="center" wrapText="1"/>
    </xf>
    <xf numFmtId="0" fontId="1" fillId="2" borderId="3" xfId="0" applyFont="1" applyFill="1" applyBorder="1" applyAlignment="1" applyProtection="1">
      <alignment horizontal="left" vertical="center" wrapText="1"/>
    </xf>
    <xf numFmtId="0" fontId="1" fillId="2" borderId="4" xfId="0" applyFont="1" applyFill="1" applyBorder="1" applyAlignment="1" applyProtection="1">
      <alignment horizontal="left" vertical="center" wrapText="1"/>
    </xf>
    <xf numFmtId="0" fontId="2" fillId="4" borderId="1" xfId="3" applyFont="1" applyBorder="1" applyAlignment="1">
      <alignment horizontal="center" vertical="center" wrapText="1"/>
    </xf>
    <xf numFmtId="0" fontId="2" fillId="4" borderId="1" xfId="3" quotePrefix="1" applyFont="1" applyBorder="1" applyAlignment="1" applyProtection="1">
      <alignment horizontal="center" vertical="center" wrapText="1"/>
    </xf>
    <xf numFmtId="0" fontId="2" fillId="4" borderId="1" xfId="3" applyFont="1" applyBorder="1"/>
    <xf numFmtId="0" fontId="2" fillId="3" borderId="1" xfId="2" applyFont="1" applyBorder="1" applyAlignment="1" applyProtection="1">
      <alignment horizontal="center" vertical="center" wrapText="1"/>
    </xf>
    <xf numFmtId="0" fontId="2" fillId="3" borderId="1" xfId="2" applyFont="1" applyBorder="1"/>
    <xf numFmtId="168" fontId="3" fillId="4" borderId="1" xfId="3" applyNumberFormat="1" applyFont="1" applyBorder="1" applyAlignment="1" applyProtection="1">
      <alignment horizontal="center" vertical="center"/>
    </xf>
    <xf numFmtId="168" fontId="3" fillId="5" borderId="1" xfId="3" applyNumberFormat="1" applyFont="1" applyFill="1" applyBorder="1" applyAlignment="1" applyProtection="1">
      <alignment horizontal="center" vertical="center"/>
    </xf>
  </cellXfs>
  <cellStyles count="4">
    <cellStyle name="40% - Accent2" xfId="3" builtinId="35"/>
    <cellStyle name="Accent2" xfId="2" builtinId="33"/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19"/>
  <sheetViews>
    <sheetView tabSelected="1" view="pageBreakPreview" zoomScale="60" zoomScaleNormal="112" workbookViewId="0">
      <selection activeCell="A6" sqref="A6:A17"/>
    </sheetView>
  </sheetViews>
  <sheetFormatPr defaultRowHeight="15" x14ac:dyDescent="0.25"/>
  <cols>
    <col min="1" max="1" width="14" bestFit="1" customWidth="1"/>
    <col min="2" max="2" width="6" customWidth="1"/>
    <col min="3" max="4" width="6.85546875" customWidth="1"/>
    <col min="5" max="5" width="8" customWidth="1"/>
    <col min="6" max="6" width="6.28515625" customWidth="1"/>
    <col min="7" max="7" width="8" customWidth="1"/>
    <col min="8" max="8" width="8.28515625" customWidth="1"/>
    <col min="9" max="9" width="10.28515625" customWidth="1"/>
    <col min="10" max="10" width="6.42578125" customWidth="1"/>
    <col min="11" max="11" width="8.28515625" customWidth="1"/>
    <col min="12" max="12" width="7.140625" customWidth="1"/>
    <col min="13" max="13" width="7.42578125" customWidth="1"/>
    <col min="14" max="14" width="7.28515625" customWidth="1"/>
    <col min="15" max="15" width="6.42578125" customWidth="1"/>
    <col min="16" max="16" width="9.28515625" bestFit="1" customWidth="1"/>
    <col min="17" max="17" width="7.42578125" customWidth="1"/>
  </cols>
  <sheetData>
    <row r="1" spans="1:17" x14ac:dyDescent="0.25">
      <c r="A1" s="15" t="s">
        <v>19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</row>
    <row r="2" spans="1:17" x14ac:dyDescent="0.25">
      <c r="A2" s="16" t="s">
        <v>20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</row>
    <row r="3" spans="1:17" x14ac:dyDescent="0.25">
      <c r="A3" s="18" t="s">
        <v>23</v>
      </c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</row>
    <row r="4" spans="1:17" ht="33" customHeight="1" x14ac:dyDescent="0.25">
      <c r="A4" s="18" t="s">
        <v>0</v>
      </c>
      <c r="B4" s="18" t="s">
        <v>1</v>
      </c>
      <c r="C4" s="18"/>
      <c r="D4" s="18"/>
      <c r="E4" s="18" t="s">
        <v>2</v>
      </c>
      <c r="F4" s="19"/>
      <c r="G4" s="10" t="s">
        <v>3</v>
      </c>
      <c r="H4" s="10" t="s">
        <v>4</v>
      </c>
      <c r="I4" s="18" t="s">
        <v>5</v>
      </c>
      <c r="J4" s="18"/>
      <c r="K4" s="18"/>
      <c r="L4" s="18" t="s">
        <v>6</v>
      </c>
      <c r="M4" s="18"/>
      <c r="N4" s="18"/>
      <c r="O4" s="18"/>
      <c r="P4" s="10" t="s">
        <v>7</v>
      </c>
      <c r="Q4" s="10" t="s">
        <v>8</v>
      </c>
    </row>
    <row r="5" spans="1:17" ht="111" customHeight="1" x14ac:dyDescent="0.25">
      <c r="A5" s="18"/>
      <c r="B5" s="8" t="s">
        <v>9</v>
      </c>
      <c r="C5" s="8" t="s">
        <v>10</v>
      </c>
      <c r="D5" s="8" t="s">
        <v>11</v>
      </c>
      <c r="E5" s="8" t="s">
        <v>12</v>
      </c>
      <c r="F5" s="8" t="s">
        <v>13</v>
      </c>
      <c r="G5" s="11"/>
      <c r="H5" s="11"/>
      <c r="I5" s="8" t="s">
        <v>14</v>
      </c>
      <c r="J5" s="8" t="s">
        <v>15</v>
      </c>
      <c r="K5" s="8" t="s">
        <v>16</v>
      </c>
      <c r="L5" s="8" t="s">
        <v>17</v>
      </c>
      <c r="M5" s="8" t="s">
        <v>18</v>
      </c>
      <c r="N5" s="8" t="s">
        <v>15</v>
      </c>
      <c r="O5" s="8" t="s">
        <v>16</v>
      </c>
      <c r="P5" s="11"/>
      <c r="Q5" s="11"/>
    </row>
    <row r="6" spans="1:17" x14ac:dyDescent="0.25">
      <c r="A6" s="20">
        <v>43922</v>
      </c>
      <c r="B6" s="2"/>
      <c r="C6" s="2"/>
      <c r="D6" s="2"/>
      <c r="E6" s="2"/>
      <c r="F6" s="2">
        <v>0</v>
      </c>
      <c r="G6" s="2">
        <v>0</v>
      </c>
      <c r="H6" s="5"/>
      <c r="I6" s="5"/>
      <c r="J6" s="5"/>
      <c r="K6" s="5">
        <v>0</v>
      </c>
      <c r="L6" s="5">
        <v>0</v>
      </c>
      <c r="M6" s="5">
        <v>0</v>
      </c>
      <c r="N6" s="5">
        <v>0</v>
      </c>
      <c r="O6" s="5">
        <v>0</v>
      </c>
      <c r="P6" s="5">
        <v>0</v>
      </c>
      <c r="Q6" s="5"/>
    </row>
    <row r="7" spans="1:17" x14ac:dyDescent="0.25">
      <c r="A7" s="21">
        <v>43952</v>
      </c>
      <c r="B7" s="3">
        <v>29</v>
      </c>
      <c r="C7" s="3">
        <v>46.21</v>
      </c>
      <c r="D7" s="3">
        <v>23.05</v>
      </c>
      <c r="E7" s="3">
        <v>332</v>
      </c>
      <c r="F7" s="3">
        <v>0.624</v>
      </c>
      <c r="G7" s="3">
        <v>4.2880000000000003</v>
      </c>
      <c r="H7" s="6">
        <f t="shared" ref="H7:H18" si="0">F7/G7*100</f>
        <v>14.55223880597015</v>
      </c>
      <c r="I7" s="6">
        <v>3.0000000000000001E-3</v>
      </c>
      <c r="J7" s="6"/>
      <c r="K7" s="6">
        <v>3.0000000000000001E-3</v>
      </c>
      <c r="L7" s="6">
        <v>3.3520000000000001E-2</v>
      </c>
      <c r="M7" s="6">
        <v>0</v>
      </c>
      <c r="N7" s="6">
        <v>0</v>
      </c>
      <c r="O7" s="6">
        <v>3.3520000000000001E-2</v>
      </c>
      <c r="P7" s="6">
        <v>3.3799999999999997E-2</v>
      </c>
      <c r="Q7" s="6">
        <f t="shared" ref="Q7:Q18" si="1">O7/P7*100</f>
        <v>99.171597633136116</v>
      </c>
    </row>
    <row r="8" spans="1:17" x14ac:dyDescent="0.25">
      <c r="A8" s="20">
        <v>43983</v>
      </c>
      <c r="B8" s="2">
        <v>67</v>
      </c>
      <c r="C8" s="2">
        <v>162.9</v>
      </c>
      <c r="D8" s="2">
        <v>89.306000000000012</v>
      </c>
      <c r="E8" s="2">
        <v>3244</v>
      </c>
      <c r="F8" s="2">
        <v>5.2173259999999999</v>
      </c>
      <c r="G8" s="2">
        <v>16.610916</v>
      </c>
      <c r="H8" s="5">
        <f t="shared" si="0"/>
        <v>31.40902042969816</v>
      </c>
      <c r="I8" s="5">
        <v>6.3789999999999996</v>
      </c>
      <c r="J8" s="5"/>
      <c r="K8" s="5">
        <v>6.3789999999999996</v>
      </c>
      <c r="L8" s="5">
        <v>0.40401300099999998</v>
      </c>
      <c r="M8" s="5">
        <v>1.0513896999999999E-2</v>
      </c>
      <c r="N8" s="5">
        <v>0</v>
      </c>
      <c r="O8" s="5">
        <v>0.41452689799999998</v>
      </c>
      <c r="P8" s="5">
        <v>0.49207589000000002</v>
      </c>
      <c r="Q8" s="5">
        <f t="shared" si="1"/>
        <v>84.240440636097816</v>
      </c>
    </row>
    <row r="9" spans="1:17" x14ac:dyDescent="0.25">
      <c r="A9" s="21">
        <v>44013</v>
      </c>
      <c r="B9" s="3">
        <v>53</v>
      </c>
      <c r="C9" s="3">
        <v>135.77000000000004</v>
      </c>
      <c r="D9" s="3">
        <v>77.218000000000004</v>
      </c>
      <c r="E9" s="3">
        <v>1732</v>
      </c>
      <c r="F9" s="3">
        <v>2.7295039999999999</v>
      </c>
      <c r="G9" s="3">
        <v>14.362548</v>
      </c>
      <c r="H9" s="6">
        <f t="shared" si="0"/>
        <v>19.004315947281778</v>
      </c>
      <c r="I9" s="6">
        <v>3.7570000000000001</v>
      </c>
      <c r="J9" s="6"/>
      <c r="K9" s="6">
        <v>3.7570000000000001</v>
      </c>
      <c r="L9" s="6">
        <v>0.19460217600000002</v>
      </c>
      <c r="M9" s="6">
        <v>6.825968E-3</v>
      </c>
      <c r="N9" s="6">
        <v>0</v>
      </c>
      <c r="O9" s="6">
        <v>0.201428144</v>
      </c>
      <c r="P9" s="6">
        <v>0.249291756</v>
      </c>
      <c r="Q9" s="6">
        <f t="shared" si="1"/>
        <v>80.800162521218709</v>
      </c>
    </row>
    <row r="10" spans="1:17" x14ac:dyDescent="0.25">
      <c r="A10" s="20">
        <v>44044</v>
      </c>
      <c r="B10" s="2">
        <v>29</v>
      </c>
      <c r="C10" s="2">
        <v>65.629999999999981</v>
      </c>
      <c r="D10" s="2">
        <v>35.542000000000002</v>
      </c>
      <c r="E10" s="2">
        <v>1361</v>
      </c>
      <c r="F10" s="2">
        <v>1.990216</v>
      </c>
      <c r="G10" s="2">
        <v>14.362548</v>
      </c>
      <c r="H10" s="5">
        <f t="shared" si="0"/>
        <v>13.856984150723118</v>
      </c>
      <c r="I10" s="5">
        <v>3.641</v>
      </c>
      <c r="J10" s="5"/>
      <c r="K10" s="5">
        <v>3.641</v>
      </c>
      <c r="L10" s="5">
        <v>0.14822822699999999</v>
      </c>
      <c r="M10" s="5">
        <v>4.8222879999999992E-3</v>
      </c>
      <c r="N10" s="5">
        <v>0</v>
      </c>
      <c r="O10" s="5">
        <v>0.153050515</v>
      </c>
      <c r="P10" s="5">
        <v>0.18564010399999997</v>
      </c>
      <c r="Q10" s="5">
        <f t="shared" si="1"/>
        <v>82.444747499171839</v>
      </c>
    </row>
    <row r="11" spans="1:17" x14ac:dyDescent="0.25">
      <c r="A11" s="21">
        <v>44075</v>
      </c>
      <c r="B11" s="3">
        <v>26</v>
      </c>
      <c r="C11" s="3">
        <v>70.019999999999982</v>
      </c>
      <c r="D11" s="3">
        <v>40.095999999999997</v>
      </c>
      <c r="E11" s="3">
        <v>999</v>
      </c>
      <c r="F11" s="3">
        <v>1.5791579999999998</v>
      </c>
      <c r="G11" s="3">
        <v>7.4578559999999996</v>
      </c>
      <c r="H11" s="6">
        <f t="shared" si="0"/>
        <v>21.174423319517029</v>
      </c>
      <c r="I11" s="6">
        <v>3.4390000000000001</v>
      </c>
      <c r="J11" s="6"/>
      <c r="K11" s="6">
        <v>3.4390000000000001</v>
      </c>
      <c r="L11" s="6">
        <v>0.12813835399999998</v>
      </c>
      <c r="M11" s="6">
        <v>6.1287299999999989E-3</v>
      </c>
      <c r="N11" s="6">
        <v>0</v>
      </c>
      <c r="O11" s="6">
        <v>0.13426708399999998</v>
      </c>
      <c r="P11" s="6">
        <v>0.16298997000000001</v>
      </c>
      <c r="Q11" s="6">
        <f t="shared" si="1"/>
        <v>82.377513168448331</v>
      </c>
    </row>
    <row r="12" spans="1:17" x14ac:dyDescent="0.25">
      <c r="A12" s="20">
        <v>44105</v>
      </c>
      <c r="B12" s="2">
        <v>38</v>
      </c>
      <c r="C12" s="2">
        <v>102.70000000000002</v>
      </c>
      <c r="D12" s="2">
        <v>60.658000000000001</v>
      </c>
      <c r="E12" s="2">
        <v>1786</v>
      </c>
      <c r="F12" s="2">
        <v>3.0969579999999999</v>
      </c>
      <c r="G12" s="2">
        <v>11.282388000000001</v>
      </c>
      <c r="H12" s="5">
        <f t="shared" si="0"/>
        <v>27.44949030293941</v>
      </c>
      <c r="I12" s="5">
        <v>18.422000000000001</v>
      </c>
      <c r="J12" s="5"/>
      <c r="K12" s="5">
        <v>18.422000000000001</v>
      </c>
      <c r="L12" s="5">
        <v>0.26118126799999997</v>
      </c>
      <c r="M12" s="5">
        <v>3.4813258999999992E-2</v>
      </c>
      <c r="N12" s="5">
        <v>0</v>
      </c>
      <c r="O12" s="5">
        <v>0.29599452700000001</v>
      </c>
      <c r="P12" s="5">
        <v>0.34719104999999995</v>
      </c>
      <c r="Q12" s="5">
        <f t="shared" si="1"/>
        <v>85.254077546065787</v>
      </c>
    </row>
    <row r="13" spans="1:17" x14ac:dyDescent="0.25">
      <c r="A13" s="21">
        <v>44136</v>
      </c>
      <c r="B13" s="3">
        <v>66</v>
      </c>
      <c r="C13" s="3">
        <v>182.07999999999998</v>
      </c>
      <c r="D13" s="3">
        <v>106.86799999999999</v>
      </c>
      <c r="E13" s="3">
        <v>3990</v>
      </c>
      <c r="F13" s="3">
        <v>6.8510649999999993</v>
      </c>
      <c r="G13" s="3">
        <v>19.877448000000001</v>
      </c>
      <c r="H13" s="6">
        <f t="shared" si="0"/>
        <v>34.466522060578399</v>
      </c>
      <c r="I13" s="6">
        <v>65.084000000000003</v>
      </c>
      <c r="J13" s="6">
        <v>6.2E-2</v>
      </c>
      <c r="K13" s="6">
        <v>65.146000000000001</v>
      </c>
      <c r="L13" s="6">
        <v>0.51360356299999999</v>
      </c>
      <c r="M13" s="6">
        <v>0.125202969</v>
      </c>
      <c r="N13" s="6">
        <v>1.2027999999999999E-4</v>
      </c>
      <c r="O13" s="6">
        <v>0.63892681200000001</v>
      </c>
      <c r="P13" s="6">
        <v>0.73582965200000006</v>
      </c>
      <c r="Q13" s="6">
        <f t="shared" si="1"/>
        <v>86.830805236427182</v>
      </c>
    </row>
    <row r="14" spans="1:17" x14ac:dyDescent="0.25">
      <c r="A14" s="20">
        <v>44166</v>
      </c>
      <c r="B14" s="2">
        <v>55</v>
      </c>
      <c r="C14" s="2">
        <v>151.54</v>
      </c>
      <c r="D14" s="2">
        <v>89.246000000000009</v>
      </c>
      <c r="E14" s="2">
        <v>3834</v>
      </c>
      <c r="F14" s="2">
        <v>6.3016540000000001</v>
      </c>
      <c r="G14" s="2">
        <v>16.599756000000003</v>
      </c>
      <c r="H14" s="5">
        <f t="shared" si="0"/>
        <v>37.962329084837144</v>
      </c>
      <c r="I14" s="5">
        <v>25.053000000000001</v>
      </c>
      <c r="J14" s="5">
        <v>4.2999999999999997E-2</v>
      </c>
      <c r="K14" s="5">
        <v>25.096</v>
      </c>
      <c r="L14" s="5">
        <v>0.49425208299999995</v>
      </c>
      <c r="M14" s="5">
        <v>4.3404705000000002E-2</v>
      </c>
      <c r="N14" s="5">
        <v>8.3420000000000011E-5</v>
      </c>
      <c r="O14" s="5">
        <v>0.537740208</v>
      </c>
      <c r="P14" s="5">
        <v>0.64290907999999991</v>
      </c>
      <c r="Q14" s="5">
        <f t="shared" si="1"/>
        <v>83.641719292563124</v>
      </c>
    </row>
    <row r="15" spans="1:17" x14ac:dyDescent="0.25">
      <c r="A15" s="21">
        <v>44197</v>
      </c>
      <c r="B15" s="3">
        <v>44</v>
      </c>
      <c r="C15" s="3">
        <v>131.21</v>
      </c>
      <c r="D15" s="3">
        <v>78.367999999999995</v>
      </c>
      <c r="E15" s="3">
        <v>3075</v>
      </c>
      <c r="F15" s="3">
        <v>5.5664959999999999</v>
      </c>
      <c r="G15" s="3">
        <v>14.576448000000001</v>
      </c>
      <c r="H15" s="6">
        <f t="shared" si="0"/>
        <v>38.188288395087746</v>
      </c>
      <c r="I15" s="6">
        <v>9.9629999999999992</v>
      </c>
      <c r="J15" s="6"/>
      <c r="K15" s="6">
        <v>9.9629999999999992</v>
      </c>
      <c r="L15" s="6">
        <v>1.230635454</v>
      </c>
      <c r="M15" s="6">
        <v>9.5303929999999999E-3</v>
      </c>
      <c r="N15" s="6">
        <v>0</v>
      </c>
      <c r="O15" s="6">
        <v>1.2401658469999999</v>
      </c>
      <c r="P15" s="6">
        <v>1.4339663109999998</v>
      </c>
      <c r="Q15" s="6">
        <f t="shared" si="1"/>
        <v>86.485005783375058</v>
      </c>
    </row>
    <row r="16" spans="1:17" x14ac:dyDescent="0.25">
      <c r="A16" s="20">
        <v>44228</v>
      </c>
      <c r="B16" s="2">
        <v>28</v>
      </c>
      <c r="C16" s="2">
        <v>84.95</v>
      </c>
      <c r="D16" s="2">
        <v>50.048387096774192</v>
      </c>
      <c r="E16" s="2">
        <v>1712</v>
      </c>
      <c r="F16" s="2">
        <v>3.1379999999999999</v>
      </c>
      <c r="G16" s="2">
        <v>9.3089999999999993</v>
      </c>
      <c r="H16" s="5">
        <f t="shared" si="0"/>
        <v>33.709313567515309</v>
      </c>
      <c r="I16" s="5">
        <v>6.2670000000000003</v>
      </c>
      <c r="J16" s="5"/>
      <c r="K16" s="5">
        <v>6.2670000000000003</v>
      </c>
      <c r="L16" s="5">
        <v>0.23462712400000002</v>
      </c>
      <c r="M16" s="5">
        <v>1.2923883000000001E-2</v>
      </c>
      <c r="N16" s="5">
        <v>0</v>
      </c>
      <c r="O16" s="5">
        <v>0.24755100699999999</v>
      </c>
      <c r="P16" s="5">
        <v>0.29774931900000001</v>
      </c>
      <c r="Q16" s="5">
        <f t="shared" si="1"/>
        <v>83.140746662799245</v>
      </c>
    </row>
    <row r="17" spans="1:17" x14ac:dyDescent="0.25">
      <c r="A17" s="21">
        <v>44256</v>
      </c>
      <c r="B17" s="3">
        <v>16</v>
      </c>
      <c r="C17" s="3">
        <v>50.04</v>
      </c>
      <c r="D17" s="3">
        <v>29.682795698924732</v>
      </c>
      <c r="E17" s="3">
        <v>689</v>
      </c>
      <c r="F17" s="3">
        <v>1.306</v>
      </c>
      <c r="G17" s="3">
        <v>5.5209999999999999</v>
      </c>
      <c r="H17" s="6">
        <f t="shared" si="0"/>
        <v>23.65513493932259</v>
      </c>
      <c r="I17" s="6">
        <v>7.2569999999999997</v>
      </c>
      <c r="J17" s="6"/>
      <c r="K17" s="6">
        <v>7.2569999999999997</v>
      </c>
      <c r="L17" s="6">
        <v>0.12599505999999999</v>
      </c>
      <c r="M17" s="6">
        <v>1.5004969E-2</v>
      </c>
      <c r="N17" s="6">
        <v>0</v>
      </c>
      <c r="O17" s="6">
        <v>0.14100002899999997</v>
      </c>
      <c r="P17" s="6">
        <v>0.17577228200000003</v>
      </c>
      <c r="Q17" s="6">
        <f t="shared" si="1"/>
        <v>80.217442361020247</v>
      </c>
    </row>
    <row r="18" spans="1:17" x14ac:dyDescent="0.25">
      <c r="A18" s="1" t="s">
        <v>22</v>
      </c>
      <c r="B18" s="4">
        <f>SUM(B6:B17)</f>
        <v>451</v>
      </c>
      <c r="C18" s="4">
        <f t="shared" ref="C18:F18" si="2">SUM(C6:C17)</f>
        <v>1183.05</v>
      </c>
      <c r="D18" s="4">
        <f t="shared" si="2"/>
        <v>680.08318279569892</v>
      </c>
      <c r="E18" s="4">
        <f t="shared" si="2"/>
        <v>22754</v>
      </c>
      <c r="F18" s="4">
        <f t="shared" si="2"/>
        <v>38.400376999999992</v>
      </c>
      <c r="G18" s="4">
        <f>SUM(G6:G17)</f>
        <v>134.247908</v>
      </c>
      <c r="H18" s="7">
        <f t="shared" si="0"/>
        <v>28.604078508247589</v>
      </c>
      <c r="I18" s="7">
        <f t="shared" ref="I18:P18" si="3">SUM(I6:I17)</f>
        <v>149.26500000000001</v>
      </c>
      <c r="J18" s="7">
        <f t="shared" si="3"/>
        <v>0.105</v>
      </c>
      <c r="K18" s="7">
        <f t="shared" si="3"/>
        <v>149.37</v>
      </c>
      <c r="L18" s="7">
        <f t="shared" si="3"/>
        <v>3.7687963099999999</v>
      </c>
      <c r="M18" s="7">
        <f t="shared" si="3"/>
        <v>0.26917106099999993</v>
      </c>
      <c r="N18" s="9">
        <f t="shared" si="3"/>
        <v>2.0370000000000002E-4</v>
      </c>
      <c r="O18" s="7">
        <f t="shared" si="3"/>
        <v>4.0381710709999998</v>
      </c>
      <c r="P18" s="7">
        <f t="shared" si="3"/>
        <v>4.7572154139999991</v>
      </c>
      <c r="Q18" s="7">
        <f t="shared" si="1"/>
        <v>84.885184284825002</v>
      </c>
    </row>
    <row r="19" spans="1:17" x14ac:dyDescent="0.25">
      <c r="A19" s="12" t="s">
        <v>21</v>
      </c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4"/>
    </row>
  </sheetData>
  <mergeCells count="13">
    <mergeCell ref="P4:P5"/>
    <mergeCell ref="Q4:Q5"/>
    <mergeCell ref="A19:Q19"/>
    <mergeCell ref="A1:Q1"/>
    <mergeCell ref="A2:Q2"/>
    <mergeCell ref="A3:Q3"/>
    <mergeCell ref="A4:A5"/>
    <mergeCell ref="B4:D4"/>
    <mergeCell ref="E4:F4"/>
    <mergeCell ref="G4:G5"/>
    <mergeCell ref="H4:H5"/>
    <mergeCell ref="I4:K4"/>
    <mergeCell ref="L4:O4"/>
  </mergeCells>
  <pageMargins left="0.7" right="0.7" top="0.75" bottom="0.75" header="0.3" footer="0.3"/>
  <pageSetup paperSize="9" scale="97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AIR INDIA EXPRESS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cp:lastPrinted>2022-04-25T11:47:31Z</cp:lastPrinted>
  <dcterms:created xsi:type="dcterms:W3CDTF">2018-10-29T04:00:07Z</dcterms:created>
  <dcterms:modified xsi:type="dcterms:W3CDTF">2022-04-25T11:48:47Z</dcterms:modified>
</cp:coreProperties>
</file>