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2\pdf &amp; excel november\Excel December 2022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O54" i="2"/>
  <c r="Q54" i="2" s="1"/>
  <c r="N54" i="2"/>
  <c r="M54" i="2"/>
  <c r="L54" i="2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O35" i="2"/>
  <c r="Q35" i="2" s="1"/>
  <c r="N35" i="2"/>
  <c r="M35" i="2"/>
  <c r="L35" i="2"/>
  <c r="K35" i="2"/>
  <c r="J35" i="2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O16" i="2"/>
  <c r="Q16" i="2" s="1"/>
  <c r="N16" i="2"/>
  <c r="M16" i="2"/>
  <c r="L16" i="2"/>
  <c r="K16" i="2"/>
  <c r="J16" i="2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<sst xmlns="http://schemas.openxmlformats.org/spreadsheetml/2006/main" count="153" uniqueCount="42">
  <si>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</si>
  <si>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INDIGO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</si>
  <si>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</si>
  <si>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</si>
  <si>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</si>
  <si>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</si>
  <si>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</si>
  <si>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</si>
  <si>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</si>
  <si>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</si>
  <si>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</si>
  <si>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</si>
  <si>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</si>
  <si>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</si>
  <si>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</si>
  <si>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</si>
  <si>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</si>
  <si>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</si>
  <si>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</si>
  <si>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</si>
  <si>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</si>
  <si>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</si>
  <si>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</si>
  <si>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</si>
  <si>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</si>
  <si>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</si>
  <si>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</si>
  <si>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</si>
  <si>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</si>
  <si>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</si>
  <si>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</si>
  <si>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</si>
  <si>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</si>
  <si>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</si>
  <si>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</si>
  <si>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INDIGO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</si>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</sst>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November%202022/New%20folder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Sheet2"/>
      <sheetName val="Sheet3"/>
      <sheetName val="Data"/>
      <sheetName val="Sheet4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1" transitionEvaluation="1" transitionEntry="1" codeName="Sheet12"/>
  <dimension ref="A1:Q494"/>
  <sheetViews>
    <sheetView showGridLines="0" tabSelected="1" view="pageBreakPreview" topLeftCell="A41" zoomScale="85" zoomScaleNormal="85" zoomScaleSheetLayoutView="85" workbookViewId="0">
      <selection activeCell="B53" sqref="B53:D53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2022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>
        <v>32470</v>
      </c>
      <c r="C4" s="5">
        <v>54563.23</v>
      </c>
      <c r="D4" s="6">
        <v>27862.959999999999</v>
      </c>
      <c r="E4" s="7">
        <v>3556558</v>
      </c>
      <c r="F4" s="5">
        <v>3370607</v>
      </c>
      <c r="G4" s="5">
        <v>5063752</v>
      </c>
      <c r="H4" s="8">
        <f>IFERROR(F4/G4*100," ")</f>
        <v>66.563429646633566</v>
      </c>
      <c r="I4" s="9">
        <v>16504.948</v>
      </c>
      <c r="J4" s="10">
        <v>1795.6529999999989</v>
      </c>
      <c r="K4" s="8">
        <f>IF(AND(ISBLANK(I4),ISBLANK(J4))=TRUE,"",I4+J4)</f>
        <v>18300.600999999999</v>
      </c>
      <c r="L4" s="9">
        <v>303320.03139000002</v>
      </c>
      <c r="M4" s="10">
        <v>18800.443153</v>
      </c>
      <c r="N4" s="10">
        <v>1649.7284259999999</v>
      </c>
      <c r="O4" s="8">
        <f>IF(AND(ISBLANK(L4),ISBLANK(M4),ISBLANK(N4))=TRUE,"",L4+M4+N4)</f>
        <v>323770.20296899998</v>
      </c>
      <c r="P4" s="10">
        <v>566307</v>
      </c>
      <c r="Q4" s="8">
        <f>IFERROR(O4/P4*100," ")</f>
        <v>57.172205706268855</v>
      </c>
    </row>
    <row r="5" spans="1:17" ht="23.1" customHeight="1" x14ac:dyDescent="0.3">
      <c r="A5" s="11" t="s">
        <v>23</v>
      </c>
      <c r="B5" s="12">
        <v>27191</v>
      </c>
      <c r="C5" s="12">
        <v>46105.45</v>
      </c>
      <c r="D5" s="11">
        <v>23549.94</v>
      </c>
      <c r="E5" s="13">
        <v>3950597</v>
      </c>
      <c r="F5" s="12">
        <v>3702539</v>
      </c>
      <c r="G5" s="12">
        <v>4345931</v>
      </c>
      <c r="H5" s="14">
        <f t="shared" ref="H5:H16" si="0">IFERROR(F5/G5*100," ")</f>
        <v>85.195531176173759</v>
      </c>
      <c r="I5" s="15">
        <v>16219.01300000001</v>
      </c>
      <c r="J5" s="16">
        <v>1640.6869999999979</v>
      </c>
      <c r="K5" s="14">
        <f t="shared" ref="K5:K16" si="1">IF(AND(ISBLANK(I5),ISBLANK(J5))=TRUE,"",I5+J5)</f>
        <v>17859.700000000008</v>
      </c>
      <c r="L5" s="15">
        <v>333193.34870999999</v>
      </c>
      <c r="M5" s="16">
        <v>18154.750561000001</v>
      </c>
      <c r="N5" s="16">
        <v>1552.5656609999974</v>
      </c>
      <c r="O5" s="14">
        <f t="shared" ref="O5:O16" si="2">IF(AND(ISBLANK(L5),ISBLANK(M5),ISBLANK(N5))=TRUE,"",L5+M5+N5)</f>
        <v>352900.66493199999</v>
      </c>
      <c r="P5" s="16">
        <v>487280.09662799939</v>
      </c>
      <c r="Q5" s="14">
        <f t="shared" ref="Q5:Q16" si="3">IFERROR(O5/P5*100," ")</f>
        <v>72.422548627388792</v>
      </c>
    </row>
    <row r="6" spans="1:17" ht="23.1" customHeight="1" x14ac:dyDescent="0.3">
      <c r="A6" s="17" t="s">
        <v>24</v>
      </c>
      <c r="B6" s="18">
        <v>41982</v>
      </c>
      <c r="C6" s="18">
        <v>71009.490000000005</v>
      </c>
      <c r="D6" s="17">
        <v>36123.9</v>
      </c>
      <c r="E6" s="19">
        <v>5783838</v>
      </c>
      <c r="F6" s="18">
        <v>5397618</v>
      </c>
      <c r="G6" s="18">
        <v>6667040</v>
      </c>
      <c r="H6" s="20">
        <f t="shared" si="0"/>
        <v>80.959736254769737</v>
      </c>
      <c r="I6" s="21">
        <v>18904.569000000003</v>
      </c>
      <c r="J6" s="22">
        <v>1830.1239999999998</v>
      </c>
      <c r="K6" s="20">
        <f t="shared" si="1"/>
        <v>20734.693000000003</v>
      </c>
      <c r="L6" s="21">
        <v>485736.39746999898</v>
      </c>
      <c r="M6" s="22">
        <v>21717.047093000001</v>
      </c>
      <c r="N6" s="22">
        <v>1742.4391619999999</v>
      </c>
      <c r="O6" s="20">
        <f t="shared" si="2"/>
        <v>509195.88372499897</v>
      </c>
      <c r="P6" s="22">
        <v>751461.260106</v>
      </c>
      <c r="Q6" s="20">
        <f t="shared" si="3"/>
        <v>67.76076303030878</v>
      </c>
    </row>
    <row r="7" spans="1:17" ht="23.1" customHeight="1" x14ac:dyDescent="0.3">
      <c r="A7" s="11" t="s">
        <v>25</v>
      </c>
      <c r="B7" s="12">
        <v>43927</v>
      </c>
      <c r="C7" s="12">
        <v>75079.520000000004</v>
      </c>
      <c r="D7" s="11">
        <v>38171.49</v>
      </c>
      <c r="E7" s="13">
        <v>5957411</v>
      </c>
      <c r="F7" s="12">
        <v>5665270</v>
      </c>
      <c r="G7" s="12">
        <v>7108985</v>
      </c>
      <c r="H7" s="14">
        <f t="shared" si="0"/>
        <v>79.691685943914635</v>
      </c>
      <c r="I7" s="15">
        <v>18927.36</v>
      </c>
      <c r="J7" s="16">
        <v>1991.0550000000017</v>
      </c>
      <c r="K7" s="14">
        <f t="shared" si="1"/>
        <v>20918.415000000001</v>
      </c>
      <c r="L7" s="15">
        <v>509827.35779999901</v>
      </c>
      <c r="M7" s="16">
        <v>22366.484611</v>
      </c>
      <c r="N7" s="16">
        <v>1875.285762</v>
      </c>
      <c r="O7" s="14">
        <f t="shared" si="2"/>
        <v>534069.12817299902</v>
      </c>
      <c r="P7" s="16">
        <v>820813.36913799995</v>
      </c>
      <c r="Q7" s="14">
        <f t="shared" si="3"/>
        <v>65.065841792253778</v>
      </c>
    </row>
    <row r="8" spans="1:17" s="23" customFormat="1" ht="30" customHeight="1" x14ac:dyDescent="0.25">
      <c r="A8" s="17" t="s">
        <v>26</v>
      </c>
      <c r="B8" s="18">
        <v>45450</v>
      </c>
      <c r="C8" s="18">
        <v>78683.78</v>
      </c>
      <c r="D8" s="17">
        <v>39809.33</v>
      </c>
      <c r="E8" s="19">
        <v>6376429</v>
      </c>
      <c r="F8" s="18">
        <v>6076111</v>
      </c>
      <c r="G8" s="18">
        <v>7427863</v>
      </c>
      <c r="H8" s="20">
        <f t="shared" si="0"/>
        <v>81.801602964405788</v>
      </c>
      <c r="I8" s="21">
        <v>21972.943999999992</v>
      </c>
      <c r="J8" s="22">
        <v>1742.731</v>
      </c>
      <c r="K8" s="20">
        <f t="shared" si="1"/>
        <v>23715.674999999992</v>
      </c>
      <c r="L8" s="21">
        <v>546731.08254000079</v>
      </c>
      <c r="M8" s="22">
        <v>26443.095150999943</v>
      </c>
      <c r="N8" s="22">
        <v>1659.8479370000018</v>
      </c>
      <c r="O8" s="20">
        <f t="shared" si="2"/>
        <v>574834.02562800073</v>
      </c>
      <c r="P8" s="22">
        <v>832904.72192400065</v>
      </c>
      <c r="Q8" s="20">
        <f t="shared" si="3"/>
        <v>69.01558011343009</v>
      </c>
    </row>
    <row r="9" spans="1:17" ht="23.1" customHeight="1" x14ac:dyDescent="0.3">
      <c r="A9" s="11" t="s">
        <v>27</v>
      </c>
      <c r="B9" s="12">
        <v>44205</v>
      </c>
      <c r="C9" s="12">
        <v>76159.100000000006</v>
      </c>
      <c r="D9" s="11">
        <v>38559.370000000003</v>
      </c>
      <c r="E9" s="13">
        <v>5982787</v>
      </c>
      <c r="F9" s="12">
        <v>5684887</v>
      </c>
      <c r="G9" s="12">
        <v>7234539</v>
      </c>
      <c r="H9" s="14">
        <f t="shared" si="0"/>
        <v>78.579809992039571</v>
      </c>
      <c r="I9" s="15">
        <v>22031.485000000001</v>
      </c>
      <c r="J9" s="16">
        <v>1764.8009999999992</v>
      </c>
      <c r="K9" s="14">
        <f t="shared" si="1"/>
        <v>23796.286</v>
      </c>
      <c r="L9" s="15">
        <v>511593.37685999903</v>
      </c>
      <c r="M9" s="16">
        <v>26475.747737000002</v>
      </c>
      <c r="N9" s="16">
        <v>1675.795529</v>
      </c>
      <c r="O9" s="14">
        <f t="shared" si="2"/>
        <v>539744.92012599902</v>
      </c>
      <c r="P9" s="16">
        <v>811830.92914199899</v>
      </c>
      <c r="Q9" s="14">
        <f t="shared" si="3"/>
        <v>66.484892451244747</v>
      </c>
    </row>
    <row r="10" spans="1:17" ht="23.1" customHeight="1" x14ac:dyDescent="0.3">
      <c r="A10" s="17" t="s">
        <v>28</v>
      </c>
      <c r="B10" s="18">
        <v>43029</v>
      </c>
      <c r="C10" s="18">
        <v>73669.48</v>
      </c>
      <c r="D10" s="17">
        <v>37099.949999999997</v>
      </c>
      <c r="E10" s="19">
        <v>5711288</v>
      </c>
      <c r="F10" s="18">
        <v>5402584</v>
      </c>
      <c r="G10" s="18">
        <v>6955302</v>
      </c>
      <c r="H10" s="20">
        <f t="shared" si="0"/>
        <v>77.675764474353528</v>
      </c>
      <c r="I10" s="21">
        <v>22448.197</v>
      </c>
      <c r="J10" s="22">
        <v>2056.9159999999988</v>
      </c>
      <c r="K10" s="20">
        <f t="shared" si="1"/>
        <v>24505.112999999998</v>
      </c>
      <c r="L10" s="21">
        <v>486160.51311</v>
      </c>
      <c r="M10" s="22">
        <v>26843.902209</v>
      </c>
      <c r="N10" s="22">
        <v>1937.0606359999999</v>
      </c>
      <c r="O10" s="20">
        <f t="shared" si="2"/>
        <v>514941.47595500003</v>
      </c>
      <c r="P10" s="22">
        <v>780612.875969999</v>
      </c>
      <c r="Q10" s="20">
        <f t="shared" si="3"/>
        <v>65.966305681946054</v>
      </c>
    </row>
    <row r="11" spans="1:17" ht="23.1" customHeight="1" x14ac:dyDescent="0.3">
      <c r="A11" s="11" t="s">
        <v>29</v>
      </c>
      <c r="B11" s="12">
        <v>43171</v>
      </c>
      <c r="C11" s="12">
        <v>73508.58</v>
      </c>
      <c r="D11" s="11">
        <v>37012.43</v>
      </c>
      <c r="E11" s="13">
        <v>5832025</v>
      </c>
      <c r="F11" s="12">
        <v>5421725</v>
      </c>
      <c r="G11" s="12">
        <v>6926748</v>
      </c>
      <c r="H11" s="14">
        <f t="shared" si="0"/>
        <v>78.272300363749338</v>
      </c>
      <c r="I11" s="15">
        <v>20559.138999999999</v>
      </c>
      <c r="J11" s="16">
        <v>2167.8679999999999</v>
      </c>
      <c r="K11" s="14">
        <f t="shared" si="1"/>
        <v>22727.006999999998</v>
      </c>
      <c r="L11" s="15">
        <v>487850.15862000099</v>
      </c>
      <c r="M11" s="16">
        <v>24072.340853000002</v>
      </c>
      <c r="N11" s="16">
        <v>1978.718022</v>
      </c>
      <c r="O11" s="14">
        <f t="shared" si="2"/>
        <v>513901.21749500098</v>
      </c>
      <c r="P11" s="16">
        <v>775776.36406099994</v>
      </c>
      <c r="Q11" s="14">
        <f t="shared" si="3"/>
        <v>66.243474447307662</v>
      </c>
    </row>
    <row r="12" spans="1:17" ht="23.1" customHeight="1" x14ac:dyDescent="0.3">
      <c r="A12" s="17" t="s">
        <v>30</v>
      </c>
      <c r="B12" s="18">
        <v>42458</v>
      </c>
      <c r="C12" s="18">
        <v>62800.55</v>
      </c>
      <c r="D12" s="17">
        <v>36366.28</v>
      </c>
      <c r="E12" s="19">
        <v>5972449</v>
      </c>
      <c r="F12" s="18">
        <v>5535026</v>
      </c>
      <c r="G12" s="18">
        <v>6800011</v>
      </c>
      <c r="H12" s="20">
        <f t="shared" si="0"/>
        <v>81.397309504352279</v>
      </c>
      <c r="I12" s="21">
        <v>21436.316000000006</v>
      </c>
      <c r="J12" s="22">
        <v>2141.7920000000008</v>
      </c>
      <c r="K12" s="20">
        <f t="shared" si="1"/>
        <v>23578.108000000007</v>
      </c>
      <c r="L12" s="21">
        <v>498054</v>
      </c>
      <c r="M12" s="22">
        <v>25060.635294999956</v>
      </c>
      <c r="N12" s="22">
        <v>1949.3628989999986</v>
      </c>
      <c r="O12" s="20">
        <f t="shared" si="2"/>
        <v>525063.99819399987</v>
      </c>
      <c r="P12" s="22">
        <v>760440.72185000055</v>
      </c>
      <c r="Q12" s="20">
        <f t="shared" si="3"/>
        <v>69.047327833341683</v>
      </c>
    </row>
    <row r="13" spans="1:17" ht="23.1" customHeight="1" x14ac:dyDescent="0.3">
      <c r="A13" s="11" t="s">
        <v>31</v>
      </c>
      <c r="B13" s="12">
        <v>45536</v>
      </c>
      <c r="C13" s="12">
        <v>77994.100000000006</v>
      </c>
      <c r="D13" s="11">
        <v>39781.379999999997</v>
      </c>
      <c r="E13" s="13">
        <v>6471441</v>
      </c>
      <c r="F13" s="12">
        <v>6126040</v>
      </c>
      <c r="G13" s="12">
        <v>7464328</v>
      </c>
      <c r="H13" s="14">
        <f t="shared" si="0"/>
        <v>82.07088434484659</v>
      </c>
      <c r="I13" s="15">
        <v>19173.945000000022</v>
      </c>
      <c r="J13" s="16">
        <v>1847.8089999999986</v>
      </c>
      <c r="K13" s="14">
        <f t="shared" si="1"/>
        <v>21021.754000000019</v>
      </c>
      <c r="L13" s="15">
        <v>551302.48314000037</v>
      </c>
      <c r="M13" s="16">
        <v>22293.721328999964</v>
      </c>
      <c r="N13" s="16">
        <v>1682.1687259999992</v>
      </c>
      <c r="O13" s="14">
        <f t="shared" si="2"/>
        <v>575278.37319500034</v>
      </c>
      <c r="P13" s="16">
        <v>834992.97938500135</v>
      </c>
      <c r="Q13" s="14">
        <f t="shared" si="3"/>
        <v>68.896192830113492</v>
      </c>
    </row>
    <row r="14" spans="1:17" ht="23.1" customHeight="1" x14ac:dyDescent="0.3">
      <c r="A14" s="17" t="s">
        <v>32</v>
      </c>
      <c r="B14" s="18">
        <v>43379</v>
      </c>
      <c r="C14" s="18">
        <v>74632.53</v>
      </c>
      <c r="D14" s="17">
        <v>37649.46</v>
      </c>
      <c r="E14" s="19">
        <v>6500903</v>
      </c>
      <c r="F14" s="18">
        <v>6114319</v>
      </c>
      <c r="G14" s="18">
        <v>7039907</v>
      </c>
      <c r="H14" s="20">
        <f t="shared" si="0"/>
        <v>86.852269497310118</v>
      </c>
      <c r="I14" s="21">
        <v>18682.534</v>
      </c>
      <c r="J14" s="22">
        <v>2030.1849999999999</v>
      </c>
      <c r="K14" s="20">
        <f t="shared" si="1"/>
        <v>20712.719000000001</v>
      </c>
      <c r="L14" s="21">
        <v>550281.56291999936</v>
      </c>
      <c r="M14" s="22">
        <v>21895.682170999975</v>
      </c>
      <c r="N14" s="22">
        <v>1837.1046209999995</v>
      </c>
      <c r="O14" s="20">
        <f t="shared" si="2"/>
        <v>574014.3497119993</v>
      </c>
      <c r="P14" s="22">
        <v>786775.69889399887</v>
      </c>
      <c r="Q14" s="20">
        <f t="shared" si="3"/>
        <v>72.957813836766121</v>
      </c>
    </row>
    <row r="15" spans="1:17" ht="23.1" customHeight="1" x14ac:dyDescent="0.3">
      <c r="A15" s="24" t="s">
        <v>33</v>
      </c>
      <c r="B15" s="25">
        <v>46194</v>
      </c>
      <c r="C15" s="25">
        <v>80042.8</v>
      </c>
      <c r="D15" s="26">
        <v>40290.74</v>
      </c>
      <c r="E15" s="27">
        <v>6997472</v>
      </c>
      <c r="F15" s="25">
        <v>6606991</v>
      </c>
      <c r="G15" s="25">
        <v>7553711</v>
      </c>
      <c r="H15" s="28">
        <f t="shared" si="0"/>
        <v>87.466822598852403</v>
      </c>
      <c r="I15" s="29">
        <v>18031.8</v>
      </c>
      <c r="J15" s="30">
        <v>2098.9520000000002</v>
      </c>
      <c r="K15" s="28">
        <f t="shared" si="1"/>
        <v>20130.752</v>
      </c>
      <c r="L15" s="29">
        <v>594472.33143000049</v>
      </c>
      <c r="M15" s="30">
        <v>21188.431890000029</v>
      </c>
      <c r="N15" s="30">
        <v>1913.1730590000041</v>
      </c>
      <c r="O15" s="28">
        <f t="shared" si="2"/>
        <v>617573.93637900054</v>
      </c>
      <c r="P15" s="16">
        <v>844151.11979300156</v>
      </c>
      <c r="Q15" s="14">
        <f t="shared" si="3"/>
        <v>73.159168056359263</v>
      </c>
    </row>
    <row r="16" spans="1:17" ht="23.1" customHeight="1" x14ac:dyDescent="0.3">
      <c r="A16" s="31" t="s">
        <v>34</v>
      </c>
      <c r="B16" s="32">
        <f t="shared" ref="B16:G16" si="4">SUM(B4:B15)</f>
        <v>498992</v>
      </c>
      <c r="C16" s="32">
        <f t="shared" si="4"/>
        <v>844248.61</v>
      </c>
      <c r="D16" s="32">
        <f t="shared" si="4"/>
        <v>432277.23000000004</v>
      </c>
      <c r="E16" s="32">
        <f t="shared" si="4"/>
        <v>69093198</v>
      </c>
      <c r="F16" s="32">
        <f t="shared" si="4"/>
        <v>65103717</v>
      </c>
      <c r="G16" s="32">
        <f t="shared" si="4"/>
        <v>80588117</v>
      </c>
      <c r="H16" s="33">
        <f t="shared" si="0"/>
        <v>80.785752817626943</v>
      </c>
      <c r="I16" s="33">
        <f>SUM(I4:I15)</f>
        <v>234892.25</v>
      </c>
      <c r="J16" s="33">
        <f>SUM(J4:J15)</f>
        <v>23108.572999999997</v>
      </c>
      <c r="K16" s="33">
        <f t="shared" si="1"/>
        <v>258000.823</v>
      </c>
      <c r="L16" s="33">
        <f>SUM(L4:L15)</f>
        <v>5858522.6439899988</v>
      </c>
      <c r="M16" s="33">
        <f>SUM(M4:M15)</f>
        <v>275312.28205299983</v>
      </c>
      <c r="N16" s="33">
        <f>SUM(N4:N15)</f>
        <v>21453.250439999996</v>
      </c>
      <c r="O16" s="33">
        <f t="shared" si="2"/>
        <v>6155288.1764829978</v>
      </c>
      <c r="P16" s="34">
        <f>SUM(P4:P15)</f>
        <v>9053347.136891</v>
      </c>
      <c r="Q16" s="34">
        <f t="shared" si="3"/>
        <v>67.989088272128029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2022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>
        <v>510</v>
      </c>
      <c r="C25" s="39">
        <v>1981.14</v>
      </c>
      <c r="D25" s="54">
        <v>1218.6969999999999</v>
      </c>
      <c r="E25" s="53">
        <v>76830</v>
      </c>
      <c r="F25" s="39">
        <v>187078</v>
      </c>
      <c r="G25" s="39">
        <v>226349</v>
      </c>
      <c r="H25" s="43">
        <f t="shared" si="5"/>
        <v>82.650243650292239</v>
      </c>
      <c r="I25" s="55">
        <v>486.505</v>
      </c>
      <c r="J25" s="55"/>
      <c r="K25" s="55">
        <f t="shared" si="6"/>
        <v>486.505</v>
      </c>
      <c r="L25" s="56">
        <v>16836.795990000002</v>
      </c>
      <c r="M25" s="55">
        <v>1145.5166670000001</v>
      </c>
      <c r="N25" s="55"/>
      <c r="O25" s="43">
        <f t="shared" si="7"/>
        <v>17982.312657000002</v>
      </c>
      <c r="P25" s="56">
        <v>26049.918126999997</v>
      </c>
      <c r="Q25" s="43">
        <f t="shared" si="8"/>
        <v>69.030207962004482</v>
      </c>
    </row>
    <row r="26" spans="1:17" ht="23.1" customHeight="1" x14ac:dyDescent="0.3">
      <c r="A26" s="47" t="s">
        <v>25</v>
      </c>
      <c r="B26" s="48">
        <v>3283</v>
      </c>
      <c r="C26" s="47">
        <v>12181.54</v>
      </c>
      <c r="D26" s="49">
        <v>8072.3609999999999</v>
      </c>
      <c r="E26" s="48">
        <v>453283</v>
      </c>
      <c r="F26" s="47">
        <v>1129022</v>
      </c>
      <c r="G26" s="47">
        <v>1526979</v>
      </c>
      <c r="H26" s="50">
        <f t="shared" si="5"/>
        <v>73.938279439337407</v>
      </c>
      <c r="I26" s="51">
        <v>3026.0549999999998</v>
      </c>
      <c r="J26" s="51"/>
      <c r="K26" s="51">
        <f t="shared" si="6"/>
        <v>3026.0549999999998</v>
      </c>
      <c r="L26" s="52">
        <v>101611.85184</v>
      </c>
      <c r="M26" s="51">
        <v>7487.1915300000001</v>
      </c>
      <c r="N26" s="51"/>
      <c r="O26" s="50">
        <f t="shared" si="7"/>
        <v>109099.04337</v>
      </c>
      <c r="P26" s="52">
        <v>177100.29642599999</v>
      </c>
      <c r="Q26" s="50">
        <f t="shared" si="8"/>
        <v>61.602970504109912</v>
      </c>
    </row>
    <row r="27" spans="1:17" s="23" customFormat="1" ht="30" customHeight="1" x14ac:dyDescent="0.25">
      <c r="A27" s="39" t="s">
        <v>26</v>
      </c>
      <c r="B27" s="53">
        <v>4142</v>
      </c>
      <c r="C27" s="39">
        <v>15581.32</v>
      </c>
      <c r="D27" s="54">
        <v>10420.290000000001</v>
      </c>
      <c r="E27" s="53">
        <v>613545</v>
      </c>
      <c r="F27" s="39">
        <v>1545875</v>
      </c>
      <c r="G27" s="39">
        <v>1987723</v>
      </c>
      <c r="H27" s="43">
        <f t="shared" si="5"/>
        <v>77.771148193183862</v>
      </c>
      <c r="I27" s="55">
        <v>2975.17</v>
      </c>
      <c r="J27" s="55"/>
      <c r="K27" s="55">
        <f t="shared" si="6"/>
        <v>2975.17</v>
      </c>
      <c r="L27" s="56">
        <v>139128.80039999986</v>
      </c>
      <c r="M27" s="55">
        <v>7503.6356509999996</v>
      </c>
      <c r="N27" s="55"/>
      <c r="O27" s="43">
        <f t="shared" si="7"/>
        <v>146632.43605099985</v>
      </c>
      <c r="P27" s="56">
        <v>223409.81446699996</v>
      </c>
      <c r="Q27" s="43">
        <f t="shared" si="8"/>
        <v>65.633838155601282</v>
      </c>
    </row>
    <row r="28" spans="1:17" ht="23.1" customHeight="1" x14ac:dyDescent="0.3">
      <c r="A28" s="47" t="s">
        <v>27</v>
      </c>
      <c r="B28" s="48">
        <v>4409</v>
      </c>
      <c r="C28" s="47">
        <v>16686.34</v>
      </c>
      <c r="D28" s="49">
        <v>11295.59</v>
      </c>
      <c r="E28" s="48">
        <v>676807</v>
      </c>
      <c r="F28" s="47">
        <v>1742586</v>
      </c>
      <c r="G28" s="47">
        <v>2150854</v>
      </c>
      <c r="H28" s="50">
        <f t="shared" si="5"/>
        <v>81.018330393415823</v>
      </c>
      <c r="I28" s="51">
        <v>3281.4659999999999</v>
      </c>
      <c r="J28" s="51"/>
      <c r="K28" s="51">
        <f t="shared" si="6"/>
        <v>3281.4659999999999</v>
      </c>
      <c r="L28" s="52">
        <v>156833.27325</v>
      </c>
      <c r="M28" s="51">
        <v>8316.1347170000008</v>
      </c>
      <c r="N28" s="51">
        <v>0</v>
      </c>
      <c r="O28" s="50">
        <f t="shared" si="7"/>
        <v>165149.40796700001</v>
      </c>
      <c r="P28" s="52">
        <v>243502.85379900006</v>
      </c>
      <c r="Q28" s="50">
        <f t="shared" si="8"/>
        <v>67.822370617193229</v>
      </c>
    </row>
    <row r="29" spans="1:17" ht="23.1" customHeight="1" x14ac:dyDescent="0.3">
      <c r="A29" s="39" t="s">
        <v>28</v>
      </c>
      <c r="B29" s="53">
        <v>4855</v>
      </c>
      <c r="C29" s="39">
        <v>18842</v>
      </c>
      <c r="D29" s="54">
        <v>12540.67</v>
      </c>
      <c r="E29" s="53">
        <v>734442</v>
      </c>
      <c r="F29" s="39">
        <v>1891992</v>
      </c>
      <c r="G29" s="39">
        <v>2397366</v>
      </c>
      <c r="H29" s="43">
        <f t="shared" si="5"/>
        <v>78.919614276668653</v>
      </c>
      <c r="I29" s="55">
        <v>3408.8820000000001</v>
      </c>
      <c r="J29" s="55"/>
      <c r="K29" s="55">
        <f t="shared" si="6"/>
        <v>3408.8820000000001</v>
      </c>
      <c r="L29" s="56">
        <v>170279.10837</v>
      </c>
      <c r="M29" s="55">
        <v>8721.2529340000001</v>
      </c>
      <c r="N29" s="55">
        <v>0</v>
      </c>
      <c r="O29" s="43">
        <f t="shared" si="7"/>
        <v>179000.36130399999</v>
      </c>
      <c r="P29" s="56">
        <v>270866.64961299999</v>
      </c>
      <c r="Q29" s="43">
        <f t="shared" si="8"/>
        <v>66.084311804257283</v>
      </c>
    </row>
    <row r="30" spans="1:17" ht="23.1" customHeight="1" x14ac:dyDescent="0.3">
      <c r="A30" s="47" t="s">
        <v>29</v>
      </c>
      <c r="B30" s="48">
        <v>4677</v>
      </c>
      <c r="C30" s="47">
        <v>17751.09</v>
      </c>
      <c r="D30" s="49">
        <v>12064.02</v>
      </c>
      <c r="E30" s="48">
        <v>715522</v>
      </c>
      <c r="F30" s="47">
        <v>1840442</v>
      </c>
      <c r="G30" s="47">
        <v>2337622</v>
      </c>
      <c r="H30" s="50">
        <f t="shared" si="5"/>
        <v>78.731377442546318</v>
      </c>
      <c r="I30" s="51">
        <v>3124.2249999999999</v>
      </c>
      <c r="J30" s="51"/>
      <c r="K30" s="51">
        <f t="shared" si="6"/>
        <v>3124.2249999999999</v>
      </c>
      <c r="L30" s="52">
        <v>165640.44141</v>
      </c>
      <c r="M30" s="51">
        <v>7742.8265620000002</v>
      </c>
      <c r="N30" s="51">
        <v>0</v>
      </c>
      <c r="O30" s="50">
        <f t="shared" si="7"/>
        <v>173383.267972</v>
      </c>
      <c r="P30" s="52">
        <v>264087.536524</v>
      </c>
      <c r="Q30" s="50">
        <f t="shared" si="8"/>
        <v>65.653710983154681</v>
      </c>
    </row>
    <row r="31" spans="1:17" ht="23.1" customHeight="1" x14ac:dyDescent="0.3">
      <c r="A31" s="39" t="s">
        <v>30</v>
      </c>
      <c r="B31" s="53">
        <v>4407</v>
      </c>
      <c r="C31" s="39">
        <v>14500.18</v>
      </c>
      <c r="D31" s="54">
        <v>11308.12</v>
      </c>
      <c r="E31" s="53">
        <v>680361</v>
      </c>
      <c r="F31" s="39">
        <v>1732792</v>
      </c>
      <c r="G31" s="39">
        <v>2159646</v>
      </c>
      <c r="H31" s="43">
        <f t="shared" si="5"/>
        <v>80.235001477093931</v>
      </c>
      <c r="I31" s="55">
        <v>3138.8670000000002</v>
      </c>
      <c r="J31" s="55"/>
      <c r="K31" s="55">
        <f t="shared" si="6"/>
        <v>3138.8670000000002</v>
      </c>
      <c r="L31" s="56">
        <v>155951.39186999999</v>
      </c>
      <c r="M31" s="55">
        <v>7509.3971809999985</v>
      </c>
      <c r="N31" s="55">
        <v>0</v>
      </c>
      <c r="O31" s="43">
        <f t="shared" si="7"/>
        <v>163460.789051</v>
      </c>
      <c r="P31" s="56">
        <v>248279.78228499994</v>
      </c>
      <c r="Q31" s="43">
        <f t="shared" si="8"/>
        <v>65.83733381212798</v>
      </c>
    </row>
    <row r="32" spans="1:17" ht="23.1" customHeight="1" x14ac:dyDescent="0.3">
      <c r="A32" s="47" t="s">
        <v>31</v>
      </c>
      <c r="B32" s="48">
        <v>4462</v>
      </c>
      <c r="C32" s="47">
        <v>16576</v>
      </c>
      <c r="D32" s="49">
        <v>11150.84</v>
      </c>
      <c r="E32" s="48">
        <v>706708</v>
      </c>
      <c r="F32" s="47">
        <v>1757794</v>
      </c>
      <c r="G32" s="47">
        <v>2149575</v>
      </c>
      <c r="H32" s="50">
        <f t="shared" si="5"/>
        <v>81.774025097984477</v>
      </c>
      <c r="I32" s="51">
        <v>3053.0930000000003</v>
      </c>
      <c r="J32" s="51"/>
      <c r="K32" s="51">
        <f t="shared" si="6"/>
        <v>3053.0930000000003</v>
      </c>
      <c r="L32" s="52">
        <v>158177.94875999991</v>
      </c>
      <c r="M32" s="51">
        <v>7489.6973230000012</v>
      </c>
      <c r="N32" s="51">
        <v>0</v>
      </c>
      <c r="O32" s="50">
        <f t="shared" si="7"/>
        <v>165667.64608299991</v>
      </c>
      <c r="P32" s="52">
        <v>246113.50885999994</v>
      </c>
      <c r="Q32" s="50">
        <f t="shared" si="8"/>
        <v>67.313511903663468</v>
      </c>
    </row>
    <row r="33" spans="1:17" ht="23.1" customHeight="1" x14ac:dyDescent="0.3">
      <c r="A33" s="39" t="s">
        <v>32</v>
      </c>
      <c r="B33" s="53">
        <v>4683</v>
      </c>
      <c r="C33" s="39">
        <v>17197.07</v>
      </c>
      <c r="D33" s="54">
        <v>11381.01</v>
      </c>
      <c r="E33" s="53">
        <v>749298</v>
      </c>
      <c r="F33" s="39">
        <v>1827849</v>
      </c>
      <c r="G33" s="39">
        <v>2198911</v>
      </c>
      <c r="H33" s="43">
        <f t="shared" si="5"/>
        <v>83.125192424795728</v>
      </c>
      <c r="I33" s="55">
        <v>2812.4539999999997</v>
      </c>
      <c r="J33" s="55">
        <v>0</v>
      </c>
      <c r="K33" s="55">
        <f t="shared" si="6"/>
        <v>2812.4539999999997</v>
      </c>
      <c r="L33" s="56">
        <v>164507.0848199999</v>
      </c>
      <c r="M33" s="55">
        <v>6822.612068999998</v>
      </c>
      <c r="N33" s="55">
        <v>0</v>
      </c>
      <c r="O33" s="43">
        <f t="shared" si="7"/>
        <v>171329.6968889999</v>
      </c>
      <c r="P33" s="56">
        <v>249588.79664400002</v>
      </c>
      <c r="Q33" s="43">
        <f t="shared" si="8"/>
        <v>68.644786622123647</v>
      </c>
    </row>
    <row r="34" spans="1:17" ht="23.1" customHeight="1" x14ac:dyDescent="0.3">
      <c r="A34" s="47" t="s">
        <v>33</v>
      </c>
      <c r="B34" s="57">
        <v>4892</v>
      </c>
      <c r="C34" s="58">
        <v>18209.516666666666</v>
      </c>
      <c r="D34" s="59">
        <v>11845.51</v>
      </c>
      <c r="E34" s="57">
        <v>813167</v>
      </c>
      <c r="F34" s="58">
        <v>1978264</v>
      </c>
      <c r="G34" s="58">
        <v>2290355</v>
      </c>
      <c r="H34" s="50">
        <f t="shared" si="5"/>
        <v>86.373684428833087</v>
      </c>
      <c r="I34" s="60">
        <v>2753.7029999999991</v>
      </c>
      <c r="J34" s="60"/>
      <c r="K34" s="60">
        <f t="shared" si="6"/>
        <v>2753.7029999999991</v>
      </c>
      <c r="L34" s="61">
        <v>178043.50952999981</v>
      </c>
      <c r="M34" s="60">
        <v>6560.2791220000017</v>
      </c>
      <c r="N34" s="60">
        <v>0</v>
      </c>
      <c r="O34" s="62">
        <f t="shared" si="7"/>
        <v>184603.78865199981</v>
      </c>
      <c r="P34" s="61">
        <v>260107.66456000015</v>
      </c>
      <c r="Q34" s="62">
        <f t="shared" si="8"/>
        <v>70.972068033549419</v>
      </c>
    </row>
    <row r="35" spans="1:17" ht="23.1" customHeight="1" x14ac:dyDescent="0.3">
      <c r="A35" s="63" t="s">
        <v>34</v>
      </c>
      <c r="B35" s="64">
        <f t="shared" ref="B35:G35" si="9">SUM(B23:B34)</f>
        <v>40320</v>
      </c>
      <c r="C35" s="64">
        <f t="shared" si="9"/>
        <v>149506.19666666666</v>
      </c>
      <c r="D35" s="64">
        <f t="shared" si="9"/>
        <v>101297.10799999998</v>
      </c>
      <c r="E35" s="64">
        <f t="shared" si="9"/>
        <v>6219963</v>
      </c>
      <c r="F35" s="64">
        <f t="shared" si="9"/>
        <v>15633694</v>
      </c>
      <c r="G35" s="64">
        <f t="shared" si="9"/>
        <v>19425380</v>
      </c>
      <c r="H35" s="65">
        <f t="shared" si="5"/>
        <v>80.48076279588868</v>
      </c>
      <c r="I35" s="66">
        <f>SUM(I23:I34)</f>
        <v>28060.419999999995</v>
      </c>
      <c r="J35" s="66">
        <f>SUM(J23:J34)</f>
        <v>0</v>
      </c>
      <c r="K35" s="66">
        <f t="shared" si="6"/>
        <v>28060.419999999995</v>
      </c>
      <c r="L35" s="66">
        <f>SUM(L23:L34)</f>
        <v>1407010.2062399993</v>
      </c>
      <c r="M35" s="66">
        <f>SUM(M23:M34)</f>
        <v>69298.543755999999</v>
      </c>
      <c r="N35" s="66">
        <f>SUM(N23:N34)</f>
        <v>0</v>
      </c>
      <c r="O35" s="66">
        <f t="shared" si="7"/>
        <v>1476308.7499959993</v>
      </c>
      <c r="P35" s="66">
        <f>SUM(P23:P34)</f>
        <v>2209106.8213050002</v>
      </c>
      <c r="Q35" s="66">
        <f t="shared" si="8"/>
        <v>66.828309783765448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2022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>
        <v>59</v>
      </c>
      <c r="C42" s="71">
        <v>115.21</v>
      </c>
      <c r="D42" s="72">
        <v>62.814999999999998</v>
      </c>
      <c r="E42" s="70">
        <v>3325</v>
      </c>
      <c r="F42" s="71">
        <v>2912</v>
      </c>
      <c r="G42" s="71">
        <v>3472</v>
      </c>
      <c r="H42" s="73">
        <f t="shared" ref="H42:H54" si="10">IFERROR(F42/G42*100," ")</f>
        <v>83.870967741935488</v>
      </c>
      <c r="I42" s="74">
        <v>181.31599999999997</v>
      </c>
      <c r="J42" s="75">
        <v>10.058999999999999</v>
      </c>
      <c r="K42" s="73">
        <f>IF(AND(ISBLANK(I42),ISBLANK(J42))=TRUE,"",I42+J42)</f>
        <v>191.37499999999997</v>
      </c>
      <c r="L42" s="74">
        <v>208.67310000000001</v>
      </c>
      <c r="M42" s="75">
        <v>217.618515</v>
      </c>
      <c r="N42" s="75">
        <v>11.038232000000001</v>
      </c>
      <c r="O42" s="73">
        <f>IF(AND(ISBLANK(L42),ISBLANK(M42),ISBLANK(N42))=TRUE,"",L42+M42+N42)</f>
        <v>437.32984699999997</v>
      </c>
      <c r="P42" s="74">
        <v>1363.347158</v>
      </c>
      <c r="Q42" s="73">
        <f>IFERROR(O42/P42*100," ")</f>
        <v>32.077658609092133</v>
      </c>
    </row>
    <row r="43" spans="1:17" ht="25.5" customHeight="1" x14ac:dyDescent="0.3">
      <c r="A43" s="76" t="s">
        <v>23</v>
      </c>
      <c r="B43" s="77">
        <v>54</v>
      </c>
      <c r="C43" s="78">
        <v>100.26</v>
      </c>
      <c r="D43" s="79">
        <v>54.084999999999994</v>
      </c>
      <c r="E43" s="77">
        <v>3682</v>
      </c>
      <c r="F43" s="78">
        <v>2926</v>
      </c>
      <c r="G43" s="78">
        <v>4090</v>
      </c>
      <c r="H43" s="80">
        <f t="shared" si="10"/>
        <v>71.540342298288508</v>
      </c>
      <c r="I43" s="81">
        <v>256.14400000000001</v>
      </c>
      <c r="J43" s="82">
        <v>2</v>
      </c>
      <c r="K43" s="80">
        <f t="shared" ref="K43:K54" si="11">IF(AND(ISBLANK(I43),ISBLANK(J43))=TRUE,"",I43+J43)</f>
        <v>258.14400000000001</v>
      </c>
      <c r="L43" s="81">
        <v>263.20190000000002</v>
      </c>
      <c r="M43" s="82">
        <v>333.08481599999999</v>
      </c>
      <c r="N43" s="82">
        <v>4</v>
      </c>
      <c r="O43" s="80">
        <f t="shared" ref="O43:O54" si="12">IF(AND(ISBLANK(L43),ISBLANK(M43),ISBLANK(N43))=TRUE,"",L43+M43+N43)</f>
        <v>600.28671600000007</v>
      </c>
      <c r="P43" s="81">
        <v>1227.2159999999999</v>
      </c>
      <c r="Q43" s="80">
        <f t="shared" ref="Q43:Q54" si="13">IFERROR(O43/P43*100," ")</f>
        <v>48.91451187077093</v>
      </c>
    </row>
    <row r="44" spans="1:17" ht="25.5" customHeight="1" x14ac:dyDescent="0.3">
      <c r="A44" s="69" t="s">
        <v>24</v>
      </c>
      <c r="B44" s="83">
        <v>52</v>
      </c>
      <c r="C44" s="84">
        <v>102.23</v>
      </c>
      <c r="D44" s="85">
        <v>59.895000000000003</v>
      </c>
      <c r="E44" s="83">
        <v>4378</v>
      </c>
      <c r="F44" s="84">
        <v>4645</v>
      </c>
      <c r="G44" s="84">
        <v>5796</v>
      </c>
      <c r="H44" s="86">
        <f t="shared" si="10"/>
        <v>80.141476880607314</v>
      </c>
      <c r="I44" s="87">
        <v>254.98699999999999</v>
      </c>
      <c r="J44" s="88">
        <v>1.056</v>
      </c>
      <c r="K44" s="86">
        <f t="shared" si="11"/>
        <v>256.04300000000001</v>
      </c>
      <c r="L44" s="87">
        <v>417.77260000000001</v>
      </c>
      <c r="M44" s="88">
        <v>312.00484499999999</v>
      </c>
      <c r="N44" s="88">
        <v>1.2425360000000001</v>
      </c>
      <c r="O44" s="86">
        <f t="shared" si="12"/>
        <v>731.01998099999992</v>
      </c>
      <c r="P44" s="87">
        <v>1443.5506</v>
      </c>
      <c r="Q44" s="86">
        <f t="shared" si="13"/>
        <v>50.640412674138325</v>
      </c>
    </row>
    <row r="45" spans="1:17" ht="25.5" customHeight="1" x14ac:dyDescent="0.3">
      <c r="A45" s="76" t="s">
        <v>25</v>
      </c>
      <c r="B45" s="77">
        <v>62</v>
      </c>
      <c r="C45" s="89">
        <v>101.04</v>
      </c>
      <c r="D45" s="79">
        <v>49.748000000000005</v>
      </c>
      <c r="E45" s="77">
        <v>4427</v>
      </c>
      <c r="F45" s="78">
        <v>3400</v>
      </c>
      <c r="G45" s="78">
        <v>5619</v>
      </c>
      <c r="H45" s="80">
        <f t="shared" si="10"/>
        <v>60.508987364299692</v>
      </c>
      <c r="I45" s="81">
        <v>99.61</v>
      </c>
      <c r="J45" s="82">
        <v>11.682</v>
      </c>
      <c r="K45" s="80">
        <f t="shared" si="11"/>
        <v>111.292</v>
      </c>
      <c r="L45" s="81">
        <v>301.71749999999997</v>
      </c>
      <c r="M45" s="82">
        <v>136.01598300000001</v>
      </c>
      <c r="N45" s="82">
        <v>15.719025999999999</v>
      </c>
      <c r="O45" s="80">
        <f t="shared" si="12"/>
        <v>453.45250899999996</v>
      </c>
      <c r="P45" s="81">
        <v>1098.9498000000001</v>
      </c>
      <c r="Q45" s="80">
        <f t="shared" si="13"/>
        <v>41.262349654188021</v>
      </c>
    </row>
    <row r="46" spans="1:17" ht="25.5" customHeight="1" x14ac:dyDescent="0.3">
      <c r="A46" s="69" t="s">
        <v>26</v>
      </c>
      <c r="B46" s="83">
        <v>264</v>
      </c>
      <c r="C46" s="90">
        <v>403.43</v>
      </c>
      <c r="D46" s="85">
        <v>172</v>
      </c>
      <c r="E46" s="83">
        <v>27701</v>
      </c>
      <c r="F46" s="84">
        <v>18969</v>
      </c>
      <c r="G46" s="84">
        <v>25483</v>
      </c>
      <c r="H46" s="86">
        <f t="shared" si="10"/>
        <v>74.43786053447397</v>
      </c>
      <c r="I46" s="87">
        <v>97.918000000000006</v>
      </c>
      <c r="J46" s="88">
        <v>28.146000000000001</v>
      </c>
      <c r="K46" s="86">
        <f t="shared" si="11"/>
        <v>126.06400000000001</v>
      </c>
      <c r="L46" s="87">
        <v>1689.7982999999999</v>
      </c>
      <c r="M46" s="88">
        <v>122.12712999999999</v>
      </c>
      <c r="N46" s="88">
        <v>36.905484999999999</v>
      </c>
      <c r="O46" s="86">
        <f t="shared" si="12"/>
        <v>1848.830915</v>
      </c>
      <c r="P46" s="87">
        <v>3401.3384999999998</v>
      </c>
      <c r="Q46" s="86">
        <f t="shared" si="13"/>
        <v>54.355981182114043</v>
      </c>
    </row>
    <row r="47" spans="1:17" ht="25.5" customHeight="1" x14ac:dyDescent="0.3">
      <c r="A47" s="76" t="s">
        <v>27</v>
      </c>
      <c r="B47" s="91">
        <v>270</v>
      </c>
      <c r="C47" s="92">
        <v>412.36</v>
      </c>
      <c r="D47" s="79">
        <v>174.00299999999999</v>
      </c>
      <c r="E47" s="91">
        <v>30809</v>
      </c>
      <c r="F47" s="92">
        <v>21811</v>
      </c>
      <c r="G47" s="92">
        <v>26331</v>
      </c>
      <c r="H47" s="80">
        <f t="shared" si="10"/>
        <v>82.833921993087998</v>
      </c>
      <c r="I47" s="93">
        <v>50.856999999999999</v>
      </c>
      <c r="J47" s="94">
        <v>16.129000000000001</v>
      </c>
      <c r="K47" s="80">
        <f t="shared" si="11"/>
        <v>66.986000000000004</v>
      </c>
      <c r="L47" s="93">
        <v>1940.7760000000001</v>
      </c>
      <c r="M47" s="94">
        <v>70.755419000000003</v>
      </c>
      <c r="N47" s="94">
        <v>22.395264000000001</v>
      </c>
      <c r="O47" s="80">
        <f t="shared" si="12"/>
        <v>2033.9266830000001</v>
      </c>
      <c r="P47" s="93">
        <v>3299.0300999999999</v>
      </c>
      <c r="Q47" s="80">
        <f t="shared" si="13"/>
        <v>61.652262069388222</v>
      </c>
    </row>
    <row r="48" spans="1:17" s="102" customFormat="1" ht="25.5" customHeight="1" x14ac:dyDescent="0.3">
      <c r="A48" s="95" t="s">
        <v>28</v>
      </c>
      <c r="B48" s="96">
        <v>253</v>
      </c>
      <c r="C48" s="97">
        <v>371.16</v>
      </c>
      <c r="D48" s="98">
        <v>150.29400000000001</v>
      </c>
      <c r="E48" s="96">
        <v>30378</v>
      </c>
      <c r="F48" s="97">
        <v>20236</v>
      </c>
      <c r="G48" s="97">
        <v>24004</v>
      </c>
      <c r="H48" s="99">
        <f t="shared" si="10"/>
        <v>84.302616230628217</v>
      </c>
      <c r="I48" s="100">
        <v>2.0539999999999998</v>
      </c>
      <c r="J48" s="101"/>
      <c r="K48" s="99">
        <f t="shared" si="11"/>
        <v>2.0539999999999998</v>
      </c>
      <c r="L48" s="100">
        <v>1789.7828</v>
      </c>
      <c r="M48" s="101">
        <v>1.856968</v>
      </c>
      <c r="N48" s="101"/>
      <c r="O48" s="99">
        <f t="shared" si="12"/>
        <v>1791.639768</v>
      </c>
      <c r="P48" s="100">
        <v>2559.0497999999998</v>
      </c>
      <c r="Q48" s="99">
        <f t="shared" si="13"/>
        <v>70.011914891222531</v>
      </c>
    </row>
    <row r="49" spans="1:17" ht="25.5" customHeight="1" x14ac:dyDescent="0.3">
      <c r="A49" s="76" t="s">
        <v>29</v>
      </c>
      <c r="B49" s="91">
        <v>252</v>
      </c>
      <c r="C49" s="92">
        <v>359.48</v>
      </c>
      <c r="D49" s="103">
        <v>149.34899999999999</v>
      </c>
      <c r="E49" s="91">
        <v>27890</v>
      </c>
      <c r="F49" s="92">
        <v>18944</v>
      </c>
      <c r="G49" s="92">
        <v>23978</v>
      </c>
      <c r="H49" s="80">
        <f t="shared" si="10"/>
        <v>79.005755275669358</v>
      </c>
      <c r="I49" s="93">
        <v>0.33700000000000002</v>
      </c>
      <c r="J49" s="94"/>
      <c r="K49" s="80">
        <f t="shared" si="11"/>
        <v>0.33700000000000002</v>
      </c>
      <c r="L49" s="93">
        <v>1670.7977000000001</v>
      </c>
      <c r="M49" s="94">
        <v>2.8292899999999999</v>
      </c>
      <c r="N49" s="94">
        <v>0.206511</v>
      </c>
      <c r="O49" s="80">
        <f t="shared" si="12"/>
        <v>1673.8335010000001</v>
      </c>
      <c r="P49" s="93">
        <v>2687.4713999999999</v>
      </c>
      <c r="Q49" s="80">
        <f t="shared" si="13"/>
        <v>62.2828395866836</v>
      </c>
    </row>
    <row r="50" spans="1:17" ht="25.5" customHeight="1" x14ac:dyDescent="0.3">
      <c r="A50" s="69" t="s">
        <v>30</v>
      </c>
      <c r="B50" s="104">
        <v>253</v>
      </c>
      <c r="C50" s="105">
        <v>312.43</v>
      </c>
      <c r="D50" s="106">
        <v>154.72999999999999</v>
      </c>
      <c r="E50" s="104">
        <v>26652</v>
      </c>
      <c r="F50" s="105">
        <v>19056</v>
      </c>
      <c r="G50" s="105">
        <v>25145</v>
      </c>
      <c r="H50" s="86">
        <f t="shared" si="10"/>
        <v>75.784450188904344</v>
      </c>
      <c r="I50" s="107">
        <v>3.0990000000000002</v>
      </c>
      <c r="J50" s="108">
        <v>0.255</v>
      </c>
      <c r="K50" s="86">
        <f t="shared" si="11"/>
        <v>3.3540000000000001</v>
      </c>
      <c r="L50" s="107">
        <v>1706.5024000000001</v>
      </c>
      <c r="M50" s="108">
        <v>9.2457379999999993</v>
      </c>
      <c r="N50" s="108">
        <v>1.9841690000000001</v>
      </c>
      <c r="O50" s="86">
        <f t="shared" si="12"/>
        <v>1717.7323070000002</v>
      </c>
      <c r="P50" s="107">
        <v>2860.9167900000002</v>
      </c>
      <c r="Q50" s="86">
        <f t="shared" si="13"/>
        <v>60.041323571665295</v>
      </c>
    </row>
    <row r="51" spans="1:17" ht="25.5" customHeight="1" x14ac:dyDescent="0.3">
      <c r="A51" s="76" t="s">
        <v>31</v>
      </c>
      <c r="B51" s="91">
        <v>262</v>
      </c>
      <c r="C51" s="92">
        <v>371.35</v>
      </c>
      <c r="D51" s="103">
        <v>156.60400000000001</v>
      </c>
      <c r="E51" s="91">
        <v>27600</v>
      </c>
      <c r="F51" s="92">
        <v>19194</v>
      </c>
      <c r="G51" s="92">
        <v>24348</v>
      </c>
      <c r="H51" s="80">
        <f t="shared" si="10"/>
        <v>78.831936914736318</v>
      </c>
      <c r="I51" s="93">
        <v>8.3999999999999991E-2</v>
      </c>
      <c r="J51" s="94">
        <v>1.0999999999999999E-2</v>
      </c>
      <c r="K51" s="80">
        <f t="shared" si="11"/>
        <v>9.4999999999999987E-2</v>
      </c>
      <c r="L51" s="93">
        <v>1705.2909999999999</v>
      </c>
      <c r="M51" s="94">
        <v>5.9662730000000002</v>
      </c>
      <c r="N51" s="94">
        <v>1.2986439999999999</v>
      </c>
      <c r="O51" s="80">
        <f t="shared" si="12"/>
        <v>1712.5559169999999</v>
      </c>
      <c r="P51" s="93">
        <v>2793.8530000000001</v>
      </c>
      <c r="Q51" s="80">
        <f t="shared" si="13"/>
        <v>61.297280744548829</v>
      </c>
    </row>
    <row r="52" spans="1:17" ht="25.5" customHeight="1" x14ac:dyDescent="0.3">
      <c r="A52" s="69" t="s">
        <v>32</v>
      </c>
      <c r="B52" s="104">
        <v>248</v>
      </c>
      <c r="C52" s="105">
        <v>361.67</v>
      </c>
      <c r="D52" s="106">
        <v>145.239</v>
      </c>
      <c r="E52" s="104">
        <v>30554</v>
      </c>
      <c r="F52" s="105">
        <v>21245</v>
      </c>
      <c r="G52" s="105">
        <v>22463</v>
      </c>
      <c r="H52" s="86">
        <f t="shared" si="10"/>
        <v>94.57775007790589</v>
      </c>
      <c r="I52" s="107">
        <v>5.0540000000000003</v>
      </c>
      <c r="J52" s="108">
        <v>0.40899999999999997</v>
      </c>
      <c r="K52" s="86">
        <f t="shared" si="11"/>
        <v>5.4630000000000001</v>
      </c>
      <c r="L52" s="107">
        <v>1900.636</v>
      </c>
      <c r="M52" s="108">
        <v>8.8517329999999994</v>
      </c>
      <c r="N52" s="108">
        <v>0.93454300000000001</v>
      </c>
      <c r="O52" s="86">
        <f t="shared" si="12"/>
        <v>1910.422276</v>
      </c>
      <c r="P52" s="107">
        <v>2579.8620000000001</v>
      </c>
      <c r="Q52" s="86">
        <f t="shared" si="13"/>
        <v>74.051335924169578</v>
      </c>
    </row>
    <row r="53" spans="1:17" ht="25.5" customHeight="1" x14ac:dyDescent="0.3">
      <c r="A53" s="76" t="s">
        <v>33</v>
      </c>
      <c r="B53" s="109">
        <v>246</v>
      </c>
      <c r="C53" s="110">
        <v>377.33333333333331</v>
      </c>
      <c r="D53" s="111">
        <v>145.94200000000001</v>
      </c>
      <c r="E53" s="109">
        <v>30061</v>
      </c>
      <c r="F53" s="110">
        <v>21285</v>
      </c>
      <c r="G53" s="110">
        <v>22639</v>
      </c>
      <c r="H53" s="112">
        <f t="shared" si="10"/>
        <v>94.019170458059094</v>
      </c>
      <c r="I53" s="113">
        <v>2.3029999999999999</v>
      </c>
      <c r="J53" s="114">
        <v>7.0000000000000007E-2</v>
      </c>
      <c r="K53" s="112">
        <f t="shared" si="11"/>
        <v>2.3729999999999998</v>
      </c>
      <c r="L53" s="113">
        <v>1904.5229999999999</v>
      </c>
      <c r="M53" s="114">
        <v>1.254224</v>
      </c>
      <c r="N53" s="114">
        <v>0.24357500000000001</v>
      </c>
      <c r="O53" s="112">
        <f t="shared" si="12"/>
        <v>1906.0207989999999</v>
      </c>
      <c r="P53" s="113">
        <v>2592.098</v>
      </c>
      <c r="Q53" s="112">
        <f t="shared" si="13"/>
        <v>73.531972903802242</v>
      </c>
    </row>
    <row r="54" spans="1:17" ht="25.5" customHeight="1" x14ac:dyDescent="0.3">
      <c r="A54" s="115" t="s">
        <v>34</v>
      </c>
      <c r="B54" s="116">
        <f t="shared" ref="B54:G54" si="14">SUM(B42:B53)</f>
        <v>2275</v>
      </c>
      <c r="C54" s="116">
        <f t="shared" si="14"/>
        <v>3387.9533333333338</v>
      </c>
      <c r="D54" s="116">
        <f t="shared" si="14"/>
        <v>1474.7040000000002</v>
      </c>
      <c r="E54" s="116">
        <f t="shared" si="14"/>
        <v>247457</v>
      </c>
      <c r="F54" s="116">
        <f t="shared" si="14"/>
        <v>174623</v>
      </c>
      <c r="G54" s="116">
        <f t="shared" si="14"/>
        <v>213368</v>
      </c>
      <c r="H54" s="117">
        <f t="shared" si="10"/>
        <v>81.841232049791913</v>
      </c>
      <c r="I54" s="117">
        <f>SUM(I42:I53)</f>
        <v>953.76299999999992</v>
      </c>
      <c r="J54" s="117">
        <f>SUM(J42:J53)</f>
        <v>69.816999999999993</v>
      </c>
      <c r="K54" s="117">
        <f t="shared" si="11"/>
        <v>1023.5799999999999</v>
      </c>
      <c r="L54" s="117">
        <f>SUM(L42:L53)</f>
        <v>15499.472299999998</v>
      </c>
      <c r="M54" s="117">
        <f>SUM(M42:M53)</f>
        <v>1221.610934</v>
      </c>
      <c r="N54" s="117">
        <f>SUM(N42:N53)</f>
        <v>95.967985000000013</v>
      </c>
      <c r="O54" s="117">
        <f t="shared" si="12"/>
        <v>16817.051218999997</v>
      </c>
      <c r="P54" s="118">
        <f>SUM(P42:P53)</f>
        <v>27906.683147999996</v>
      </c>
      <c r="Q54" s="117">
        <f t="shared" si="13"/>
        <v>60.261734186799032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2022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>
        <v>3209</v>
      </c>
      <c r="C61" s="123">
        <v>11642.11</v>
      </c>
      <c r="D61" s="124">
        <v>7742.1750000000002</v>
      </c>
      <c r="E61" s="122">
        <v>379584</v>
      </c>
      <c r="F61" s="123">
        <v>935248</v>
      </c>
      <c r="G61" s="123">
        <v>1433686</v>
      </c>
      <c r="H61" s="125">
        <f t="shared" ref="H61:H73" si="15">IFERROR(F61/G61*100," ")</f>
        <v>65.233809913746796</v>
      </c>
      <c r="I61" s="126">
        <v>4207.2280000000001</v>
      </c>
      <c r="J61" s="127"/>
      <c r="K61" s="127">
        <f>IF(AND(ISBLANK(I61),ISBLANK(J61))=TRUE,"",I61+J61)</f>
        <v>4207.2280000000001</v>
      </c>
      <c r="L61" s="126">
        <v>83982.504600000102</v>
      </c>
      <c r="M61" s="127">
        <v>8451.04152599999</v>
      </c>
      <c r="N61" s="127"/>
      <c r="O61" s="128">
        <f>IF(AND(ISBLANK(L61),ISBLANK(M61),ISBLANK(N61))=TRUE,"",L61+M61+N61)</f>
        <v>92433.546126000088</v>
      </c>
      <c r="P61" s="127">
        <v>170610.38094700003</v>
      </c>
      <c r="Q61" s="125">
        <f>IFERROR(O61/P61*100," ")</f>
        <v>54.178148840025443</v>
      </c>
    </row>
    <row r="62" spans="1:17" ht="24.75" customHeight="1" x14ac:dyDescent="0.3">
      <c r="A62" s="76" t="s">
        <v>23</v>
      </c>
      <c r="B62" s="91">
        <v>2829</v>
      </c>
      <c r="C62" s="92">
        <v>10392.17</v>
      </c>
      <c r="D62" s="103">
        <v>6992.3289999999997</v>
      </c>
      <c r="E62" s="91">
        <v>363402</v>
      </c>
      <c r="F62" s="92">
        <v>905256</v>
      </c>
      <c r="G62" s="92">
        <v>1245361</v>
      </c>
      <c r="H62" s="129">
        <f t="shared" si="15"/>
        <v>72.690248048557805</v>
      </c>
      <c r="I62" s="93">
        <v>4547.7809999999999</v>
      </c>
      <c r="J62" s="94"/>
      <c r="K62" s="94">
        <f t="shared" ref="K62:K73" si="16">IF(AND(ISBLANK(I62),ISBLANK(J62))=TRUE,"",I62+J62)</f>
        <v>4547.7809999999999</v>
      </c>
      <c r="L62" s="93">
        <v>81472.988200000007</v>
      </c>
      <c r="M62" s="94">
        <v>9174.3150070000011</v>
      </c>
      <c r="N62" s="94">
        <v>0</v>
      </c>
      <c r="O62" s="80">
        <f t="shared" ref="O62:O73" si="17">IF(AND(ISBLANK(L62),ISBLANK(M62),ISBLANK(N62))=TRUE,"",L62+M62+N62)</f>
        <v>90647.303207000004</v>
      </c>
      <c r="P62" s="94">
        <v>151564.5545</v>
      </c>
      <c r="Q62" s="129">
        <f t="shared" ref="Q62:Q73" si="18">IFERROR(O62/P62*100," ")</f>
        <v>59.807719229630308</v>
      </c>
    </row>
    <row r="63" spans="1:17" ht="24.75" customHeight="1" x14ac:dyDescent="0.3">
      <c r="A63" s="121" t="s">
        <v>24</v>
      </c>
      <c r="B63" s="130">
        <v>3071</v>
      </c>
      <c r="C63" s="131">
        <v>11316.46</v>
      </c>
      <c r="D63" s="132">
        <v>7491.4310000000005</v>
      </c>
      <c r="E63" s="130">
        <v>458571</v>
      </c>
      <c r="F63" s="131">
        <v>1128025.3600000001</v>
      </c>
      <c r="G63" s="131">
        <v>1392270.426</v>
      </c>
      <c r="H63" s="133">
        <f t="shared" si="15"/>
        <v>81.020564606893402</v>
      </c>
      <c r="I63" s="134">
        <v>4113.3819999999996</v>
      </c>
      <c r="J63" s="135"/>
      <c r="K63" s="135">
        <f t="shared" si="16"/>
        <v>4113.3819999999996</v>
      </c>
      <c r="L63" s="134">
        <v>101521.7922</v>
      </c>
      <c r="M63" s="135">
        <v>8464.7827980000002</v>
      </c>
      <c r="N63" s="135">
        <v>0</v>
      </c>
      <c r="O63" s="136">
        <f t="shared" si="17"/>
        <v>109986.574998</v>
      </c>
      <c r="P63" s="135">
        <v>160915.56460000001</v>
      </c>
      <c r="Q63" s="133">
        <f t="shared" si="18"/>
        <v>68.350488824000294</v>
      </c>
    </row>
    <row r="64" spans="1:17" ht="24.75" customHeight="1" x14ac:dyDescent="0.3">
      <c r="A64" s="76" t="s">
        <v>25</v>
      </c>
      <c r="B64" s="91">
        <v>85</v>
      </c>
      <c r="C64" s="92">
        <v>278.44</v>
      </c>
      <c r="D64" s="103">
        <v>161.10699999999997</v>
      </c>
      <c r="E64" s="91">
        <v>1543</v>
      </c>
      <c r="F64" s="92">
        <v>4340</v>
      </c>
      <c r="G64" s="92">
        <v>4677</v>
      </c>
      <c r="H64" s="129">
        <f t="shared" si="15"/>
        <v>92.794526405815688</v>
      </c>
      <c r="I64" s="93">
        <v>835.36300000000006</v>
      </c>
      <c r="J64" s="94"/>
      <c r="K64" s="94">
        <f t="shared" si="16"/>
        <v>835.36300000000006</v>
      </c>
      <c r="L64" s="93">
        <v>390.5401</v>
      </c>
      <c r="M64" s="94">
        <v>1425.3468330000001</v>
      </c>
      <c r="N64" s="94"/>
      <c r="O64" s="80">
        <f t="shared" si="17"/>
        <v>1815.886933</v>
      </c>
      <c r="P64" s="94">
        <v>3833.2701999999999</v>
      </c>
      <c r="Q64" s="129">
        <f t="shared" si="18"/>
        <v>47.371743661586912</v>
      </c>
    </row>
    <row r="65" spans="1:17" ht="24.75" customHeight="1" x14ac:dyDescent="0.3">
      <c r="A65" s="121" t="s">
        <v>26</v>
      </c>
      <c r="B65" s="130">
        <v>50</v>
      </c>
      <c r="C65" s="131">
        <v>202.67</v>
      </c>
      <c r="D65" s="132">
        <v>108.792</v>
      </c>
      <c r="E65" s="130">
        <v>1217</v>
      </c>
      <c r="F65" s="131">
        <v>2910</v>
      </c>
      <c r="G65" s="131">
        <v>3099</v>
      </c>
      <c r="H65" s="133">
        <f t="shared" si="15"/>
        <v>93.901258470474346</v>
      </c>
      <c r="I65" s="134">
        <v>609.69399999999996</v>
      </c>
      <c r="J65" s="135"/>
      <c r="K65" s="135">
        <f t="shared" si="16"/>
        <v>609.69399999999996</v>
      </c>
      <c r="L65" s="134">
        <v>261.95429999999999</v>
      </c>
      <c r="M65" s="135">
        <v>1342.9411</v>
      </c>
      <c r="N65" s="135"/>
      <c r="O65" s="136">
        <f t="shared" si="17"/>
        <v>1604.8953999999999</v>
      </c>
      <c r="P65" s="135">
        <v>2922.1867000000002</v>
      </c>
      <c r="Q65" s="133">
        <f t="shared" si="18"/>
        <v>54.921042519288712</v>
      </c>
    </row>
    <row r="66" spans="1:17" ht="24.75" customHeight="1" x14ac:dyDescent="0.3">
      <c r="A66" s="76" t="s">
        <v>27</v>
      </c>
      <c r="B66" s="91">
        <v>37</v>
      </c>
      <c r="C66" s="92">
        <v>115.31</v>
      </c>
      <c r="D66" s="103">
        <v>70.872</v>
      </c>
      <c r="E66" s="91">
        <v>1267</v>
      </c>
      <c r="F66" s="92">
        <v>3925</v>
      </c>
      <c r="G66" s="92">
        <v>4419</v>
      </c>
      <c r="H66" s="129">
        <f t="shared" si="15"/>
        <v>88.821000226295538</v>
      </c>
      <c r="I66" s="93">
        <v>360.34300000000002</v>
      </c>
      <c r="J66" s="94"/>
      <c r="K66" s="94">
        <f t="shared" si="16"/>
        <v>360.34300000000002</v>
      </c>
      <c r="L66" s="93">
        <v>353.28050000000002</v>
      </c>
      <c r="M66" s="94">
        <v>665.58605899999998</v>
      </c>
      <c r="N66" s="94">
        <v>0</v>
      </c>
      <c r="O66" s="80">
        <f t="shared" si="17"/>
        <v>1018.8665590000001</v>
      </c>
      <c r="P66" s="94">
        <v>1866.3400999999999</v>
      </c>
      <c r="Q66" s="129">
        <f t="shared" si="18"/>
        <v>54.591687710080286</v>
      </c>
    </row>
    <row r="67" spans="1:17" ht="24.75" customHeight="1" x14ac:dyDescent="0.3">
      <c r="A67" s="121" t="s">
        <v>28</v>
      </c>
      <c r="B67" s="130">
        <v>18</v>
      </c>
      <c r="C67" s="131">
        <v>62.43</v>
      </c>
      <c r="D67" s="132">
        <v>39.420999999999999</v>
      </c>
      <c r="E67" s="130">
        <v>2105</v>
      </c>
      <c r="F67" s="131">
        <v>6035</v>
      </c>
      <c r="G67" s="131">
        <v>6296</v>
      </c>
      <c r="H67" s="133">
        <f t="shared" si="15"/>
        <v>95.854510800508265</v>
      </c>
      <c r="I67" s="134">
        <v>76.989999999999995</v>
      </c>
      <c r="J67" s="135"/>
      <c r="K67" s="135">
        <f t="shared" si="16"/>
        <v>76.989999999999995</v>
      </c>
      <c r="L67" s="134">
        <v>543.03179999999998</v>
      </c>
      <c r="M67" s="135">
        <v>89.62</v>
      </c>
      <c r="N67" s="135"/>
      <c r="O67" s="136">
        <f t="shared" si="17"/>
        <v>632.65179999999998</v>
      </c>
      <c r="P67" s="135">
        <v>886.33381799999995</v>
      </c>
      <c r="Q67" s="133">
        <f t="shared" si="18"/>
        <v>71.378501773470632</v>
      </c>
    </row>
    <row r="68" spans="1:17" ht="24.75" customHeight="1" x14ac:dyDescent="0.3">
      <c r="A68" s="76" t="s">
        <v>29</v>
      </c>
      <c r="B68" s="91">
        <v>12</v>
      </c>
      <c r="C68" s="92">
        <v>61.51</v>
      </c>
      <c r="D68" s="103">
        <v>33.404000000000003</v>
      </c>
      <c r="E68" s="91">
        <v>2427</v>
      </c>
      <c r="F68" s="92">
        <v>6735</v>
      </c>
      <c r="G68" s="92">
        <v>7390</v>
      </c>
      <c r="H68" s="129">
        <f t="shared" si="15"/>
        <v>91.136671177266578</v>
      </c>
      <c r="I68" s="93">
        <v>15.486000000000001</v>
      </c>
      <c r="J68" s="94"/>
      <c r="K68" s="94">
        <f t="shared" si="16"/>
        <v>15.486000000000001</v>
      </c>
      <c r="L68" s="93">
        <v>606.23540000000003</v>
      </c>
      <c r="M68" s="94">
        <v>42.7654</v>
      </c>
      <c r="N68" s="94">
        <v>0</v>
      </c>
      <c r="O68" s="80">
        <f t="shared" si="17"/>
        <v>649.00080000000003</v>
      </c>
      <c r="P68" s="94">
        <v>844.25289999999995</v>
      </c>
      <c r="Q68" s="129">
        <f t="shared" si="18"/>
        <v>76.872794869878462</v>
      </c>
    </row>
    <row r="69" spans="1:17" ht="24.75" customHeight="1" x14ac:dyDescent="0.3">
      <c r="A69" s="121" t="s">
        <v>30</v>
      </c>
      <c r="B69" s="130">
        <v>1</v>
      </c>
      <c r="C69" s="131">
        <v>5.39</v>
      </c>
      <c r="D69" s="132">
        <v>3.88</v>
      </c>
      <c r="E69" s="130">
        <v>177</v>
      </c>
      <c r="F69" s="131">
        <v>687</v>
      </c>
      <c r="G69" s="131">
        <v>698</v>
      </c>
      <c r="H69" s="133">
        <f t="shared" si="15"/>
        <v>98.424068767908309</v>
      </c>
      <c r="I69" s="134">
        <v>0</v>
      </c>
      <c r="J69" s="135"/>
      <c r="K69" s="135">
        <f t="shared" si="16"/>
        <v>0</v>
      </c>
      <c r="L69" s="134">
        <v>61.808399999999999</v>
      </c>
      <c r="M69" s="135">
        <v>0</v>
      </c>
      <c r="N69" s="135">
        <v>0</v>
      </c>
      <c r="O69" s="136">
        <f t="shared" si="17"/>
        <v>61.808399999999999</v>
      </c>
      <c r="P69" s="135">
        <v>79.912480000000002</v>
      </c>
      <c r="Q69" s="133">
        <f t="shared" si="18"/>
        <v>77.345115556418719</v>
      </c>
    </row>
    <row r="70" spans="1:17" ht="24.75" customHeight="1" x14ac:dyDescent="0.3">
      <c r="A70" s="76" t="s">
        <v>31</v>
      </c>
      <c r="B70" s="91"/>
      <c r="C70" s="92"/>
      <c r="D70" s="103"/>
      <c r="E70" s="91"/>
      <c r="F70" s="92"/>
      <c r="G70" s="92"/>
      <c r="H70" s="129" t="str">
        <f t="shared" si="15"/>
        <v xml:space="preserve"> </v>
      </c>
      <c r="I70" s="93"/>
      <c r="J70" s="94"/>
      <c r="K70" s="94" t="str">
        <f t="shared" si="16"/>
        <v/>
      </c>
      <c r="L70" s="93"/>
      <c r="M70" s="94"/>
      <c r="N70" s="94"/>
      <c r="O70" s="80" t="str">
        <f t="shared" si="17"/>
        <v/>
      </c>
      <c r="P70" s="94"/>
      <c r="Q70" s="129" t="str">
        <f t="shared" si="18"/>
        <v xml:space="preserve"> </v>
      </c>
    </row>
    <row r="71" spans="1:17" ht="24.75" customHeight="1" x14ac:dyDescent="0.3">
      <c r="A71" s="121" t="s">
        <v>32</v>
      </c>
      <c r="B71" s="130"/>
      <c r="C71" s="131"/>
      <c r="D71" s="132"/>
      <c r="E71" s="130"/>
      <c r="F71" s="131"/>
      <c r="G71" s="131"/>
      <c r="H71" s="133" t="str">
        <f t="shared" si="15"/>
        <v xml:space="preserve"> </v>
      </c>
      <c r="I71" s="134"/>
      <c r="J71" s="135"/>
      <c r="K71" s="135" t="str">
        <f t="shared" si="16"/>
        <v/>
      </c>
      <c r="L71" s="134"/>
      <c r="M71" s="135"/>
      <c r="N71" s="135"/>
      <c r="O71" s="136" t="str">
        <f t="shared" si="17"/>
        <v/>
      </c>
      <c r="P71" s="135"/>
      <c r="Q71" s="133" t="str">
        <f t="shared" si="18"/>
        <v xml:space="preserve"> </v>
      </c>
    </row>
    <row r="72" spans="1:17" ht="24.75" customHeight="1" x14ac:dyDescent="0.3">
      <c r="A72" s="76" t="s">
        <v>33</v>
      </c>
      <c r="B72" s="109"/>
      <c r="C72" s="110"/>
      <c r="D72" s="111"/>
      <c r="E72" s="109"/>
      <c r="F72" s="110"/>
      <c r="G72" s="110"/>
      <c r="H72" s="112" t="str">
        <f t="shared" si="15"/>
        <v xml:space="preserve"> </v>
      </c>
      <c r="I72" s="113"/>
      <c r="J72" s="114"/>
      <c r="K72" s="114" t="str">
        <f t="shared" si="16"/>
        <v/>
      </c>
      <c r="L72" s="113"/>
      <c r="M72" s="114"/>
      <c r="N72" s="114"/>
      <c r="O72" s="112" t="str">
        <f t="shared" si="17"/>
        <v/>
      </c>
      <c r="P72" s="114"/>
      <c r="Q72" s="112" t="str">
        <f t="shared" si="18"/>
        <v xml:space="preserve"> </v>
      </c>
    </row>
    <row r="73" spans="1:17" ht="24.75" customHeight="1" x14ac:dyDescent="0.3">
      <c r="A73" s="137" t="s">
        <v>34</v>
      </c>
      <c r="B73" s="138">
        <f t="shared" ref="B73:G73" si="19">SUM(B61:B72)</f>
        <v>9312</v>
      </c>
      <c r="C73" s="138">
        <f t="shared" si="19"/>
        <v>34076.49</v>
      </c>
      <c r="D73" s="138">
        <f t="shared" si="19"/>
        <v>22643.411</v>
      </c>
      <c r="E73" s="138">
        <f t="shared" si="19"/>
        <v>1210293</v>
      </c>
      <c r="F73" s="138">
        <f t="shared" si="19"/>
        <v>2993161.3600000003</v>
      </c>
      <c r="G73" s="138">
        <f t="shared" si="19"/>
        <v>4097896.426</v>
      </c>
      <c r="H73" s="139">
        <f t="shared" si="15"/>
        <v>73.041410734767069</v>
      </c>
      <c r="I73" s="140">
        <f>SUM(I61:I72)</f>
        <v>14766.267</v>
      </c>
      <c r="J73" s="140">
        <f>SUM(J61:J72)</f>
        <v>0</v>
      </c>
      <c r="K73" s="140">
        <f t="shared" si="16"/>
        <v>14766.267</v>
      </c>
      <c r="L73" s="140">
        <f>SUM(L61:L72)</f>
        <v>269194.13550000009</v>
      </c>
      <c r="M73" s="140">
        <f>SUM(M61:M72)</f>
        <v>29656.398722999991</v>
      </c>
      <c r="N73" s="140">
        <f>SUM(N61:N72)</f>
        <v>0</v>
      </c>
      <c r="O73" s="140">
        <f t="shared" si="17"/>
        <v>298850.53422300005</v>
      </c>
      <c r="P73" s="140">
        <f>SUM(P61:P72)</f>
        <v>493522.79624500003</v>
      </c>
      <c r="Q73" s="139">
        <f t="shared" si="18"/>
        <v>60.554555229631454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2023-01-13T09:04:17Z</dcterms:created>
  <dcterms:modified xsi:type="dcterms:W3CDTF">2023-01-16T10:01:53Z</dcterms:modified>
</cp:coreProperties>
</file>