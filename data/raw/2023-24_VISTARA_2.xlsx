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Annual Report 2023-24\Airline Wise\VISTARA\"/>
    </mc:Choice>
  </mc:AlternateContent>
  <bookViews>
    <workbookView xWindow="0" yWindow="0" windowWidth="24000" windowHeight="9735"/>
  </bookViews>
  <sheets>
    <sheet name="VISTAR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8" i="1" l="1"/>
  <c r="Q16" i="1" l="1"/>
  <c r="Q15" i="1"/>
  <c r="Q14" i="1"/>
  <c r="Q13" i="1"/>
  <c r="Q12" i="1"/>
  <c r="Q11" i="1"/>
  <c r="Q10" i="1"/>
  <c r="Q9" i="1"/>
  <c r="Q8" i="1"/>
  <c r="Q7" i="1"/>
  <c r="Q6" i="1"/>
  <c r="H16" i="1"/>
  <c r="H15" i="1"/>
  <c r="H14" i="1"/>
  <c r="H13" i="1"/>
  <c r="H12" i="1"/>
  <c r="H11" i="1"/>
  <c r="H10" i="1"/>
  <c r="H9" i="1"/>
  <c r="H8" i="1"/>
  <c r="H7" i="1"/>
  <c r="H6" i="1"/>
  <c r="H17" i="1" l="1"/>
  <c r="Q17" i="1" l="1"/>
  <c r="P18" i="1"/>
  <c r="N18" i="1"/>
  <c r="M18" i="1"/>
  <c r="L18" i="1"/>
  <c r="K18" i="1"/>
  <c r="J18" i="1"/>
  <c r="I18" i="1"/>
  <c r="G18" i="1"/>
  <c r="F18" i="1"/>
  <c r="E18" i="1"/>
  <c r="D18" i="1"/>
  <c r="C18" i="1"/>
  <c r="B18" i="1"/>
  <c r="Q18" i="1" l="1"/>
  <c r="H18" i="1"/>
</calcChain>
</file>

<file path=xl/sharedStrings.xml><?xml version="1.0" encoding="utf-8"?>
<sst xmlns="http://schemas.openxmlformats.org/spreadsheetml/2006/main" count="26" uniqueCount="24">
  <si>
    <t>SOURCE:-  ICAO ATR FORM 'A' FURNISHED BY VISTARA</t>
  </si>
  <si>
    <t xml:space="preserve"> TOTAL</t>
  </si>
  <si>
    <t xml:space="preserve"> MAIL</t>
  </si>
  <si>
    <t>FREIGHT</t>
  </si>
  <si>
    <t xml:space="preserve"> PAX.</t>
  </si>
  <si>
    <t xml:space="preserve"> FREIGHT </t>
  </si>
  <si>
    <t>KMS.PERFORMED (MILLION)</t>
  </si>
  <si>
    <t>CARRIED (NOS.)</t>
  </si>
  <si>
    <t xml:space="preserve">  KMS. (THOUSANDS)</t>
  </si>
  <si>
    <t>HOURS (NOS.)</t>
  </si>
  <si>
    <t>DEPARTURES (NOS.)</t>
  </si>
  <si>
    <t xml:space="preserve"> WEIGHT LOAD FACTOR (%)</t>
  </si>
  <si>
    <t>AVAILABLE TONNE KILOMETERS (MILLION)</t>
  </si>
  <si>
    <t xml:space="preserve">    TON  KMS. PERFORMED (MILLION)</t>
  </si>
  <si>
    <t xml:space="preserve"> CARGO CARRIED (TON)</t>
  </si>
  <si>
    <t xml:space="preserve"> PAX. LOAD FACTOR (%)</t>
  </si>
  <si>
    <t>AVAILABLE SEAT KILOMETERS (MILLION)</t>
  </si>
  <si>
    <t xml:space="preserve">    PASSENGERS</t>
  </si>
  <si>
    <t>AIRCRAFT FLOWN</t>
  </si>
  <si>
    <t>MONTH</t>
  </si>
  <si>
    <t>Table 1.02 (VISTARA)</t>
  </si>
  <si>
    <t xml:space="preserve">तालिका - 1.02 (विस्तारा) </t>
  </si>
  <si>
    <t>2023-24</t>
  </si>
  <si>
    <t>MONTHLY TRAFFIC AND OPERATING STATISTICS OF VISTARA ON SCHEDULED INTERNATIONAL SERVICES DURING 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</si>
</sst>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.0_);_(* \(#,##0.0\);_(* &quot;-&quot;??_);_(@_)"/>
    <numFmt numFmtId="165" formatCode="[$-409]mmmm/yy;@"/>
    <numFmt numFmtId="166" formatCode="_(* #,##0_);_(* \(#,##0\);_(* &quot;-&quot;??_);_(@_)"/>
    <numFmt numFmtId="167" formatCode="[$-409]mmm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2">
    <xf numFmtId="0" fontId="0" fillId="0" borderId="0" xfId="0"/>
    <xf numFmtId="164" fontId="2" fillId="3" borderId="1" xfId="3" applyNumberFormat="1" applyFont="1" applyBorder="1" applyAlignment="1" applyProtection="1">
      <alignment horizontal="center" vertical="center" wrapText="1"/>
    </xf>
    <xf numFmtId="164" fontId="5" fillId="0" borderId="1" xfId="1" applyNumberFormat="1" applyFont="1" applyFill="1" applyBorder="1" applyAlignment="1">
      <alignment horizontal="center" vertical="center"/>
    </xf>
    <xf numFmtId="164" fontId="1" fillId="3" borderId="1" xfId="3" applyNumberFormat="1" applyBorder="1" applyAlignment="1">
      <alignment horizontal="center" vertical="center"/>
    </xf>
    <xf numFmtId="0" fontId="6" fillId="2" borderId="1" xfId="2" applyFont="1" applyBorder="1" applyAlignment="1" applyProtection="1">
      <alignment horizontal="center" vertical="center" textRotation="90" wrapText="1"/>
    </xf>
    <xf numFmtId="164" fontId="1" fillId="5" borderId="1" xfId="3" applyNumberFormat="1" applyFill="1" applyBorder="1" applyAlignment="1">
      <alignment horizontal="center" vertical="center"/>
    </xf>
    <xf numFmtId="164" fontId="2" fillId="3" borderId="1" xfId="3" applyNumberFormat="1" applyFont="1" applyBorder="1" applyAlignment="1">
      <alignment horizontal="center" vertical="center"/>
    </xf>
    <xf numFmtId="164" fontId="2" fillId="6" borderId="1" xfId="3" applyNumberFormat="1" applyFont="1" applyFill="1" applyBorder="1" applyAlignment="1">
      <alignment horizontal="center" vertical="center"/>
    </xf>
    <xf numFmtId="165" fontId="2" fillId="3" borderId="1" xfId="3" applyNumberFormat="1" applyFont="1" applyBorder="1" applyAlignment="1" applyProtection="1">
      <alignment horizontal="center" vertical="center" wrapText="1"/>
    </xf>
    <xf numFmtId="166" fontId="1" fillId="3" borderId="1" xfId="3" applyNumberFormat="1" applyBorder="1" applyAlignment="1">
      <alignment horizontal="center" vertical="center"/>
    </xf>
    <xf numFmtId="166" fontId="5" fillId="0" borderId="1" xfId="1" applyNumberFormat="1" applyFont="1" applyFill="1" applyBorder="1" applyAlignment="1">
      <alignment horizontal="center" vertical="center"/>
    </xf>
    <xf numFmtId="166" fontId="2" fillId="3" borderId="1" xfId="3" applyNumberFormat="1" applyFont="1" applyBorder="1" applyAlignment="1" applyProtection="1">
      <alignment horizontal="center" vertical="center" wrapText="1"/>
    </xf>
    <xf numFmtId="167" fontId="1" fillId="3" borderId="1" xfId="3" applyNumberFormat="1" applyBorder="1" applyAlignment="1" applyProtection="1">
      <alignment horizontal="center" vertical="center" wrapText="1"/>
    </xf>
    <xf numFmtId="167" fontId="1" fillId="5" borderId="1" xfId="3" applyNumberFormat="1" applyFill="1" applyBorder="1" applyAlignment="1" applyProtection="1">
      <alignment horizontal="center" vertical="center" wrapText="1"/>
    </xf>
    <xf numFmtId="0" fontId="4" fillId="4" borderId="1" xfId="0" applyFont="1" applyFill="1" applyBorder="1" applyAlignment="1" applyProtection="1">
      <alignment horizontal="left" vertical="center" wrapText="1"/>
    </xf>
    <xf numFmtId="0" fontId="6" fillId="3" borderId="1" xfId="3" applyFont="1" applyBorder="1" applyAlignment="1">
      <alignment horizontal="center" vertical="center" wrapText="1"/>
    </xf>
    <xf numFmtId="0" fontId="6" fillId="3" borderId="1" xfId="3" quotePrefix="1" applyFont="1" applyBorder="1" applyAlignment="1" applyProtection="1">
      <alignment horizontal="center" vertical="center" wrapText="1"/>
    </xf>
    <xf numFmtId="0" fontId="6" fillId="3" borderId="1" xfId="3" applyFont="1" applyBorder="1"/>
    <xf numFmtId="0" fontId="6" fillId="2" borderId="1" xfId="2" applyFont="1" applyBorder="1" applyAlignment="1" applyProtection="1">
      <alignment horizontal="center" vertical="center" wrapText="1"/>
    </xf>
    <xf numFmtId="0" fontId="6" fillId="2" borderId="1" xfId="2" applyFont="1" applyBorder="1"/>
    <xf numFmtId="0" fontId="6" fillId="2" borderId="1" xfId="2" applyFont="1" applyBorder="1" applyAlignment="1" applyProtection="1">
      <alignment horizontal="center" vertical="center" textRotation="90" wrapText="1"/>
    </xf>
    <xf numFmtId="0" fontId="6" fillId="2" borderId="1" xfId="2" applyFont="1" applyBorder="1" applyAlignment="1">
      <alignment textRotation="90"/>
    </xf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topLeftCell="A4" zoomScaleNormal="95" zoomScaleSheetLayoutView="100" workbookViewId="0">
      <selection activeCell="F18" sqref="F18"/>
    </sheetView>
  </sheetViews>
  <sheetFormatPr defaultRowHeight="15" x14ac:dyDescent="0.25"/>
  <cols>
    <col min="1" max="1" width="13.5703125" customWidth="1"/>
    <col min="2" max="2" width="9.140625" customWidth="1"/>
    <col min="3" max="3" width="10.28515625" customWidth="1"/>
    <col min="4" max="4" width="9.28515625" customWidth="1"/>
    <col min="5" max="6" width="12.140625" customWidth="1"/>
    <col min="7" max="7" width="11" customWidth="1"/>
    <col min="8" max="8" width="7.42578125" customWidth="1"/>
    <col min="9" max="9" width="9.28515625" customWidth="1"/>
    <col min="10" max="10" width="7.42578125" customWidth="1"/>
    <col min="11" max="11" width="9.85546875" customWidth="1"/>
    <col min="12" max="12" width="9.7109375" customWidth="1"/>
    <col min="13" max="13" width="9.140625" customWidth="1"/>
    <col min="14" max="14" width="7.42578125" customWidth="1"/>
    <col min="15" max="15" width="9.85546875" customWidth="1"/>
    <col min="16" max="16" width="11.85546875" customWidth="1"/>
    <col min="17" max="17" width="7.28515625" customWidth="1"/>
  </cols>
  <sheetData>
    <row r="1" spans="1:17" ht="19.149999999999999" customHeight="1" x14ac:dyDescent="0.25">
      <c r="A1" s="15" t="s">
        <v>21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19.149999999999999" customHeight="1" x14ac:dyDescent="0.25">
      <c r="A2" s="16" t="s">
        <v>20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19.149999999999999" customHeight="1" x14ac:dyDescent="0.25">
      <c r="A3" s="18" t="s">
        <v>23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ht="37.9" customHeight="1" x14ac:dyDescent="0.25">
      <c r="A4" s="18" t="s">
        <v>19</v>
      </c>
      <c r="B4" s="18" t="s">
        <v>18</v>
      </c>
      <c r="C4" s="18"/>
      <c r="D4" s="18"/>
      <c r="E4" s="18" t="s">
        <v>17</v>
      </c>
      <c r="F4" s="19"/>
      <c r="G4" s="20" t="s">
        <v>16</v>
      </c>
      <c r="H4" s="20" t="s">
        <v>15</v>
      </c>
      <c r="I4" s="18" t="s">
        <v>14</v>
      </c>
      <c r="J4" s="18"/>
      <c r="K4" s="18"/>
      <c r="L4" s="18" t="s">
        <v>13</v>
      </c>
      <c r="M4" s="18"/>
      <c r="N4" s="18"/>
      <c r="O4" s="18"/>
      <c r="P4" s="20" t="s">
        <v>12</v>
      </c>
      <c r="Q4" s="20" t="s">
        <v>11</v>
      </c>
    </row>
    <row r="5" spans="1:17" ht="99" customHeight="1" x14ac:dyDescent="0.25">
      <c r="A5" s="18"/>
      <c r="B5" s="4" t="s">
        <v>10</v>
      </c>
      <c r="C5" s="4" t="s">
        <v>9</v>
      </c>
      <c r="D5" s="4" t="s">
        <v>8</v>
      </c>
      <c r="E5" s="4" t="s">
        <v>7</v>
      </c>
      <c r="F5" s="4" t="s">
        <v>6</v>
      </c>
      <c r="G5" s="21"/>
      <c r="H5" s="21"/>
      <c r="I5" s="4" t="s">
        <v>5</v>
      </c>
      <c r="J5" s="4" t="s">
        <v>2</v>
      </c>
      <c r="K5" s="4" t="s">
        <v>1</v>
      </c>
      <c r="L5" s="4" t="s">
        <v>4</v>
      </c>
      <c r="M5" s="4" t="s">
        <v>3</v>
      </c>
      <c r="N5" s="4" t="s">
        <v>2</v>
      </c>
      <c r="O5" s="4" t="s">
        <v>1</v>
      </c>
      <c r="P5" s="21"/>
      <c r="Q5" s="21"/>
    </row>
    <row r="6" spans="1:17" ht="19.899999999999999" customHeight="1" x14ac:dyDescent="0.25">
      <c r="A6" s="12">
        <v>45017</v>
      </c>
      <c r="B6" s="9">
        <v>1030</v>
      </c>
      <c r="C6" s="9">
        <v>4257.75</v>
      </c>
      <c r="D6" s="9">
        <v>3205.61</v>
      </c>
      <c r="E6" s="9">
        <v>152006</v>
      </c>
      <c r="F6" s="3">
        <v>531.0170280000001</v>
      </c>
      <c r="G6" s="3">
        <v>684.57101800000009</v>
      </c>
      <c r="H6" s="3">
        <f t="shared" ref="H6:H16" si="0">F6/G6*100</f>
        <v>77.569311881093981</v>
      </c>
      <c r="I6" s="3">
        <v>1925.4984899999999</v>
      </c>
      <c r="J6" s="3">
        <v>12.8245</v>
      </c>
      <c r="K6" s="3">
        <v>1938.3229899999999</v>
      </c>
      <c r="L6" s="3">
        <v>55.756787940000009</v>
      </c>
      <c r="M6" s="3">
        <v>8.7590829202385496</v>
      </c>
      <c r="N6" s="3">
        <v>7.7198295199999989E-2</v>
      </c>
      <c r="O6" s="3">
        <v>64.593069155438556</v>
      </c>
      <c r="P6" s="3">
        <v>68.384321663999998</v>
      </c>
      <c r="Q6" s="3">
        <f t="shared" ref="Q6:Q16" si="1">O6/P6*100</f>
        <v>94.45596239560669</v>
      </c>
    </row>
    <row r="7" spans="1:17" ht="19.899999999999999" customHeight="1" x14ac:dyDescent="0.25">
      <c r="A7" s="13">
        <v>45047</v>
      </c>
      <c r="B7" s="10">
        <v>1069</v>
      </c>
      <c r="C7" s="10">
        <v>4395.3999999999996</v>
      </c>
      <c r="D7" s="10">
        <v>3320.922</v>
      </c>
      <c r="E7" s="10">
        <v>162421</v>
      </c>
      <c r="F7" s="2">
        <v>561.97926500000005</v>
      </c>
      <c r="G7" s="2">
        <v>708.44869200000005</v>
      </c>
      <c r="H7" s="2">
        <f t="shared" si="0"/>
        <v>79.325330309170795</v>
      </c>
      <c r="I7" s="2">
        <v>1906.9467500000001</v>
      </c>
      <c r="J7" s="2">
        <v>12.329499999999999</v>
      </c>
      <c r="K7" s="2">
        <v>1919.2762500000001</v>
      </c>
      <c r="L7" s="2">
        <v>59.10065332500001</v>
      </c>
      <c r="M7" s="2">
        <v>0.66526718210219882</v>
      </c>
      <c r="N7" s="2">
        <v>2.8739636399999997E-2</v>
      </c>
      <c r="O7" s="2">
        <v>59.794660143502213</v>
      </c>
      <c r="P7" s="2">
        <v>92.914641264000025</v>
      </c>
      <c r="Q7" s="2">
        <f t="shared" si="1"/>
        <v>64.354400264654288</v>
      </c>
    </row>
    <row r="8" spans="1:17" ht="19.899999999999999" customHeight="1" x14ac:dyDescent="0.25">
      <c r="A8" s="12">
        <v>45078</v>
      </c>
      <c r="B8" s="9">
        <v>1074</v>
      </c>
      <c r="C8" s="9">
        <v>4605.2666666666664</v>
      </c>
      <c r="D8" s="9">
        <v>3542.4479999999999</v>
      </c>
      <c r="E8" s="9">
        <v>174008</v>
      </c>
      <c r="F8" s="3">
        <v>656.74913800000002</v>
      </c>
      <c r="G8" s="3">
        <v>784.73083799999995</v>
      </c>
      <c r="H8" s="3">
        <f t="shared" si="0"/>
        <v>83.691006673551939</v>
      </c>
      <c r="I8" s="3">
        <v>2339.6599299999998</v>
      </c>
      <c r="J8" s="3">
        <v>11.565200000000001</v>
      </c>
      <c r="K8" s="3">
        <v>2351.2251299999998</v>
      </c>
      <c r="L8" s="3">
        <v>68.958659490000002</v>
      </c>
      <c r="M8" s="3">
        <v>0.6482515981021989</v>
      </c>
      <c r="N8" s="3">
        <v>2.84986076E-2</v>
      </c>
      <c r="O8" s="3">
        <v>69.635409695702208</v>
      </c>
      <c r="P8" s="3">
        <v>103.823552022</v>
      </c>
      <c r="Q8" s="3">
        <f t="shared" si="1"/>
        <v>67.070918244972589</v>
      </c>
    </row>
    <row r="9" spans="1:17" ht="19.899999999999999" customHeight="1" x14ac:dyDescent="0.25">
      <c r="A9" s="13">
        <v>45108</v>
      </c>
      <c r="B9" s="10">
        <v>1114</v>
      </c>
      <c r="C9" s="10">
        <v>4802.166666666667</v>
      </c>
      <c r="D9" s="10">
        <v>3658.0680000000002</v>
      </c>
      <c r="E9" s="10">
        <v>178044</v>
      </c>
      <c r="F9" s="2">
        <v>656.71088100000009</v>
      </c>
      <c r="G9" s="2">
        <v>805.59012600000005</v>
      </c>
      <c r="H9" s="5">
        <f t="shared" si="0"/>
        <v>81.519231654534948</v>
      </c>
      <c r="I9" s="2">
        <v>2052.4693400000001</v>
      </c>
      <c r="J9" s="2">
        <v>10.47695</v>
      </c>
      <c r="K9" s="2">
        <v>2062.9462900000003</v>
      </c>
      <c r="L9" s="2">
        <v>68.954642504999995</v>
      </c>
      <c r="M9" s="2">
        <v>0.6482515981021989</v>
      </c>
      <c r="N9" s="2">
        <v>2.2685355399999999E-2</v>
      </c>
      <c r="O9" s="5">
        <v>69.625579458502187</v>
      </c>
      <c r="P9" s="2">
        <v>87.679753579999996</v>
      </c>
      <c r="Q9" s="2">
        <f t="shared" si="1"/>
        <v>79.408958870961044</v>
      </c>
    </row>
    <row r="10" spans="1:17" ht="19.899999999999999" customHeight="1" x14ac:dyDescent="0.25">
      <c r="A10" s="12">
        <v>45139</v>
      </c>
      <c r="B10" s="9">
        <v>1099</v>
      </c>
      <c r="C10" s="9">
        <v>4641.45</v>
      </c>
      <c r="D10" s="9">
        <v>3540.2060000000001</v>
      </c>
      <c r="E10" s="9">
        <v>171277</v>
      </c>
      <c r="F10" s="3">
        <v>640.60899500000005</v>
      </c>
      <c r="G10" s="3">
        <v>777.97951799999998</v>
      </c>
      <c r="H10" s="3">
        <f t="shared" si="0"/>
        <v>82.342655581325999</v>
      </c>
      <c r="I10" s="3">
        <v>2136.8975</v>
      </c>
      <c r="J10" s="3">
        <v>7.6204000000000001</v>
      </c>
      <c r="K10" s="3">
        <v>2144.5178999999998</v>
      </c>
      <c r="L10" s="3">
        <v>67.262428064999995</v>
      </c>
      <c r="M10" s="3">
        <v>0.64818940510630496</v>
      </c>
      <c r="N10" s="3">
        <v>2.2685355399999999E-2</v>
      </c>
      <c r="O10" s="3">
        <v>67.933302825506303</v>
      </c>
      <c r="P10" s="3">
        <v>106.622263264</v>
      </c>
      <c r="Q10" s="3">
        <f t="shared" si="1"/>
        <v>63.713994381549895</v>
      </c>
    </row>
    <row r="11" spans="1:17" ht="19.899999999999999" customHeight="1" x14ac:dyDescent="0.25">
      <c r="A11" s="13">
        <v>45170</v>
      </c>
      <c r="B11" s="10">
        <v>1099</v>
      </c>
      <c r="C11" s="10">
        <v>4668.7666666666664</v>
      </c>
      <c r="D11" s="10">
        <v>3523.5360000000001</v>
      </c>
      <c r="E11" s="10">
        <v>169239</v>
      </c>
      <c r="F11" s="2">
        <v>619.92623500000002</v>
      </c>
      <c r="G11" s="2">
        <v>773.08793100000003</v>
      </c>
      <c r="H11" s="5">
        <f t="shared" si="0"/>
        <v>80.188321423944203</v>
      </c>
      <c r="I11" s="2">
        <v>2061.3935900000001</v>
      </c>
      <c r="J11" s="2">
        <v>5.8193599999999996</v>
      </c>
      <c r="K11" s="2">
        <v>2067.2129500000001</v>
      </c>
      <c r="L11" s="2">
        <v>65.092254674999992</v>
      </c>
      <c r="M11" s="2">
        <v>0.64821310110630492</v>
      </c>
      <c r="N11" s="2">
        <v>2.2685355399999999E-2</v>
      </c>
      <c r="O11" s="5">
        <v>65.7631531315063</v>
      </c>
      <c r="P11" s="2">
        <v>105.499583516</v>
      </c>
      <c r="Q11" s="2">
        <f t="shared" si="1"/>
        <v>62.334988385553871</v>
      </c>
    </row>
    <row r="12" spans="1:17" ht="19.899999999999999" customHeight="1" x14ac:dyDescent="0.25">
      <c r="A12" s="12">
        <v>45200</v>
      </c>
      <c r="B12" s="9">
        <v>1188</v>
      </c>
      <c r="C12" s="9">
        <v>5000.4333333333334</v>
      </c>
      <c r="D12" s="9">
        <v>3781.7020000000002</v>
      </c>
      <c r="E12" s="9">
        <v>182360</v>
      </c>
      <c r="F12" s="3">
        <v>654.84661100000005</v>
      </c>
      <c r="G12" s="3">
        <v>818.66245400000003</v>
      </c>
      <c r="H12" s="3">
        <f t="shared" si="0"/>
        <v>79.989818489953606</v>
      </c>
      <c r="I12" s="3">
        <v>2228.9016299999998</v>
      </c>
      <c r="J12" s="3">
        <v>8.5086999999999993</v>
      </c>
      <c r="K12" s="3">
        <v>2237.4103299999997</v>
      </c>
      <c r="L12" s="3">
        <v>68.758894155000007</v>
      </c>
      <c r="M12" s="3">
        <v>0.64826133810219899</v>
      </c>
      <c r="N12" s="3">
        <v>2.84986076E-2</v>
      </c>
      <c r="O12" s="3">
        <v>69.435654100702209</v>
      </c>
      <c r="P12" s="3">
        <v>110.725891</v>
      </c>
      <c r="Q12" s="3">
        <f t="shared" si="1"/>
        <v>62.709501340298281</v>
      </c>
    </row>
    <row r="13" spans="1:17" ht="19.899999999999999" customHeight="1" x14ac:dyDescent="0.25">
      <c r="A13" s="13">
        <v>45231</v>
      </c>
      <c r="B13" s="10">
        <v>1282</v>
      </c>
      <c r="C13" s="10">
        <v>5429.6333333333332</v>
      </c>
      <c r="D13" s="10">
        <v>4083.348</v>
      </c>
      <c r="E13" s="10">
        <v>203076</v>
      </c>
      <c r="F13" s="2">
        <v>732.74525899999992</v>
      </c>
      <c r="G13" s="2">
        <v>894.51906599999995</v>
      </c>
      <c r="H13" s="5">
        <f t="shared" si="0"/>
        <v>81.914996208700146</v>
      </c>
      <c r="I13" s="2">
        <v>2558.20003</v>
      </c>
      <c r="J13" s="2">
        <v>11.23001</v>
      </c>
      <c r="K13" s="2">
        <v>2569.4300400000002</v>
      </c>
      <c r="L13" s="2">
        <v>76.93825219499999</v>
      </c>
      <c r="M13" s="2">
        <v>0.648264163618825</v>
      </c>
      <c r="N13" s="2">
        <v>2.6748292999999999E-2</v>
      </c>
      <c r="O13" s="5">
        <v>77.613264651618806</v>
      </c>
      <c r="P13" s="2">
        <v>119.357607758</v>
      </c>
      <c r="Q13" s="2">
        <f t="shared" si="1"/>
        <v>65.025821235443402</v>
      </c>
    </row>
    <row r="14" spans="1:17" ht="19.899999999999999" customHeight="1" x14ac:dyDescent="0.25">
      <c r="A14" s="12">
        <v>45261</v>
      </c>
      <c r="B14" s="9">
        <v>1460</v>
      </c>
      <c r="C14" s="9">
        <v>6433.4666666666662</v>
      </c>
      <c r="D14" s="9">
        <v>4849.5</v>
      </c>
      <c r="E14" s="9">
        <v>244991</v>
      </c>
      <c r="F14" s="3">
        <v>900.744147</v>
      </c>
      <c r="G14" s="3">
        <v>1057.187232</v>
      </c>
      <c r="H14" s="3">
        <f t="shared" si="0"/>
        <v>85.201950963403235</v>
      </c>
      <c r="I14" s="3">
        <v>2969.7892299999999</v>
      </c>
      <c r="J14" s="3">
        <v>4.5567299999999999</v>
      </c>
      <c r="K14" s="3">
        <v>2974.3459599999996</v>
      </c>
      <c r="L14" s="3">
        <v>94.577736959999996</v>
      </c>
      <c r="M14" s="3">
        <v>0.64826661561882493</v>
      </c>
      <c r="N14" s="3">
        <v>2.6748292999999999E-2</v>
      </c>
      <c r="O14" s="3">
        <v>95.252751868618816</v>
      </c>
      <c r="P14" s="3">
        <v>106.692944864</v>
      </c>
      <c r="Q14" s="3">
        <f t="shared" si="1"/>
        <v>89.277460651251275</v>
      </c>
    </row>
    <row r="15" spans="1:17" ht="19.899999999999999" customHeight="1" x14ac:dyDescent="0.25">
      <c r="A15" s="13">
        <v>45292</v>
      </c>
      <c r="B15" s="10">
        <v>1476</v>
      </c>
      <c r="C15" s="10">
        <v>6954.3166666666666</v>
      </c>
      <c r="D15" s="10">
        <v>4847.2759999999998</v>
      </c>
      <c r="E15" s="10">
        <v>238354</v>
      </c>
      <c r="F15" s="2">
        <v>871.66456299999993</v>
      </c>
      <c r="G15" s="2">
        <v>1052.1232360000001</v>
      </c>
      <c r="H15" s="5">
        <f t="shared" si="0"/>
        <v>82.848142990732299</v>
      </c>
      <c r="I15" s="2">
        <v>2814.2122199999999</v>
      </c>
      <c r="J15" s="2">
        <v>3.9403999999999999</v>
      </c>
      <c r="K15" s="2">
        <v>2818.1526199999998</v>
      </c>
      <c r="L15" s="2">
        <v>91.524779115000001</v>
      </c>
      <c r="M15" s="2">
        <v>0.64827977361882494</v>
      </c>
      <c r="N15" s="2">
        <v>2.6748292999999999E-2</v>
      </c>
      <c r="O15" s="5">
        <v>92.199807181618823</v>
      </c>
      <c r="P15" s="2">
        <v>140.59766282200002</v>
      </c>
      <c r="Q15" s="2">
        <f t="shared" si="1"/>
        <v>65.577055358555967</v>
      </c>
    </row>
    <row r="16" spans="1:17" ht="19.899999999999999" customHeight="1" x14ac:dyDescent="0.25">
      <c r="A16" s="12">
        <v>45323</v>
      </c>
      <c r="B16" s="9">
        <v>1420</v>
      </c>
      <c r="C16" s="9">
        <v>1672.85</v>
      </c>
      <c r="D16" s="9">
        <v>4690.21</v>
      </c>
      <c r="E16" s="9">
        <v>232198</v>
      </c>
      <c r="F16" s="3">
        <v>852.91885300000001</v>
      </c>
      <c r="G16" s="3">
        <v>1014.620726</v>
      </c>
      <c r="H16" s="3">
        <f t="shared" si="0"/>
        <v>84.062825757809335</v>
      </c>
      <c r="I16" s="3">
        <v>3043.3372199999999</v>
      </c>
      <c r="J16" s="3">
        <v>3.5811999999999999</v>
      </c>
      <c r="K16" s="3">
        <v>3046.91842</v>
      </c>
      <c r="L16" s="3">
        <v>89.557123425</v>
      </c>
      <c r="M16" s="3">
        <v>0.64829356361882506</v>
      </c>
      <c r="N16" s="3">
        <v>2.6748292999999999E-2</v>
      </c>
      <c r="O16" s="3">
        <v>90.232165281618819</v>
      </c>
      <c r="P16" s="3">
        <v>135.12329633600001</v>
      </c>
      <c r="Q16" s="3">
        <f t="shared" si="1"/>
        <v>66.777652505786932</v>
      </c>
    </row>
    <row r="17" spans="1:17" ht="19.899999999999999" customHeight="1" x14ac:dyDescent="0.25">
      <c r="A17" s="13">
        <v>45352</v>
      </c>
      <c r="B17" s="10">
        <v>1556</v>
      </c>
      <c r="C17" s="10">
        <v>7022.3</v>
      </c>
      <c r="D17" s="10">
        <v>5298.3040000000001</v>
      </c>
      <c r="E17" s="10">
        <v>261023</v>
      </c>
      <c r="F17" s="2">
        <v>1000.0532959999999</v>
      </c>
      <c r="G17" s="2">
        <v>1170.9539930000001</v>
      </c>
      <c r="H17" s="5">
        <f t="shared" ref="H17" si="2">F17/G17*100</f>
        <v>85.405003268988366</v>
      </c>
      <c r="I17" s="2">
        <v>3734.7862399999999</v>
      </c>
      <c r="J17" s="2">
        <v>4.08</v>
      </c>
      <c r="K17" s="2">
        <v>3738.8662399999998</v>
      </c>
      <c r="L17" s="2">
        <v>105.00873075</v>
      </c>
      <c r="M17" s="2">
        <v>0.64830877561882505</v>
      </c>
      <c r="N17" s="2">
        <v>2.6748292999999999E-2</v>
      </c>
      <c r="O17" s="5">
        <v>105.68378781861881</v>
      </c>
      <c r="P17" s="2">
        <v>159.84940779299998</v>
      </c>
      <c r="Q17" s="2">
        <f t="shared" ref="Q17" si="3">O17/P17*100</f>
        <v>66.114594528542781</v>
      </c>
    </row>
    <row r="18" spans="1:17" ht="19.899999999999999" customHeight="1" x14ac:dyDescent="0.25">
      <c r="A18" s="8" t="s">
        <v>22</v>
      </c>
      <c r="B18" s="1">
        <f>SUM(B6:B17)</f>
        <v>14867</v>
      </c>
      <c r="C18" s="1">
        <f t="shared" ref="C18:G18" si="4">SUM(C6:C17)</f>
        <v>59883.8</v>
      </c>
      <c r="D18" s="1">
        <f t="shared" si="4"/>
        <v>48341.130000000005</v>
      </c>
      <c r="E18" s="11">
        <f>SUM(E6:E17)</f>
        <v>2368997</v>
      </c>
      <c r="F18" s="1">
        <f t="shared" si="4"/>
        <v>8679.9642710000007</v>
      </c>
      <c r="G18" s="1">
        <f t="shared" si="4"/>
        <v>10542.474829999999</v>
      </c>
      <c r="H18" s="7">
        <f>F18/G18*100</f>
        <v>82.333270043007559</v>
      </c>
      <c r="I18" s="1">
        <f t="shared" ref="I18:P18" si="5">SUM(I6:I17)</f>
        <v>29772.092170000004</v>
      </c>
      <c r="J18" s="1">
        <f t="shared" si="5"/>
        <v>96.532950000000014</v>
      </c>
      <c r="K18" s="1">
        <f t="shared" si="5"/>
        <v>29868.625120000001</v>
      </c>
      <c r="L18" s="1">
        <f t="shared" si="5"/>
        <v>911.49094260000004</v>
      </c>
      <c r="M18" s="1">
        <f t="shared" si="5"/>
        <v>15.906930034954078</v>
      </c>
      <c r="N18" s="1">
        <f t="shared" si="5"/>
        <v>0.36473267799999987</v>
      </c>
      <c r="O18" s="6">
        <f>SUM(O6:O17)</f>
        <v>927.76260531295407</v>
      </c>
      <c r="P18" s="1">
        <f t="shared" si="5"/>
        <v>1337.270925883</v>
      </c>
      <c r="Q18" s="1">
        <f>O18/P18*100</f>
        <v>69.377310712139533</v>
      </c>
    </row>
    <row r="19" spans="1:17" ht="19.899999999999999" customHeight="1" x14ac:dyDescent="0.25">
      <c r="A19" s="14" t="s">
        <v>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</sheetData>
  <mergeCells count="13"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P4:P5"/>
    <mergeCell ref="Q4:Q5"/>
  </mergeCells>
  <pageMargins left="0.70866141732283472" right="0.70866141732283472" top="0.74803149606299213" bottom="0.74803149606299213" header="0.31496062992125984" footer="0.31496062992125984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VISTARA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Lenovo</cp:lastModifiedBy>
  <cp:lastPrinted>2021-09-15T01:37:34Z</cp:lastPrinted>
  <dcterms:created xsi:type="dcterms:W3CDTF">2020-05-22T09:14:10Z</dcterms:created>
  <dcterms:modified xsi:type="dcterms:W3CDTF">2025-01-24T07:04:00Z</dcterms:modified>
</cp:coreProperties>
</file>