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KASA AIR\"/>
    </mc:Choice>
  </mc:AlternateContent>
  <bookViews>
    <workbookView xWindow="0" yWindow="0" windowWidth="24000" windowHeight="11025"/>
  </bookViews>
  <sheets>
    <sheet name="AKASA AIR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<sst xmlns="http://schemas.openxmlformats.org/spreadsheetml/2006/main" count="26" uniqueCount="24">
  <si>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</si>
  <si>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</si>
  <si>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</si>
  <si>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</si>
  <si>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</si>
  <si>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</si>
  <si>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</si>
  <si>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</si>
  <si>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</si>
  <si>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</si>
  <si>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</si>
  <si>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</si>
  <si>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</si>
  <si>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</si>
  <si>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</si>
  <si>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</si>
  <si>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</si>
  <si>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</si>
  <si>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</si>
  <si>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AKASA AIR</t>
  </si>
  <si>
    <t>Table 1.02 (AKASA AIR)</t>
  </si>
  <si>
    <t xml:space="preserve">तालिका - 1.02 (अकासा एयर) </t>
  </si>
  <si>
    <t>2023-24</t>
  </si>
  <si>
    <t>MONTHLY TRAFFIC AND OPERATING STATISTICS OF AKASA AIR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</si>
</sst>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C9" sqref="C9"/>
    </sheetView>
  </sheetViews>
  <sheetFormatPr defaultRowHeight="15" x14ac:dyDescent="0.25"/>
  <cols>
    <col min="1" max="1" width="13.85546875" customWidth="1"/>
    <col min="2" max="17" width="7.42578125" customWidth="1"/>
  </cols>
  <sheetData>
    <row r="1" spans="1:17" ht="19.149999999999999" customHeight="1" x14ac:dyDescent="0.25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8.450000000000003" customHeight="1" x14ac:dyDescent="0.25">
      <c r="A4" s="12" t="s">
        <v>0</v>
      </c>
      <c r="B4" s="12" t="s">
        <v>1</v>
      </c>
      <c r="C4" s="12"/>
      <c r="D4" s="12"/>
      <c r="E4" s="12" t="s">
        <v>2</v>
      </c>
      <c r="F4" s="13"/>
      <c r="G4" s="6" t="s">
        <v>3</v>
      </c>
      <c r="H4" s="6" t="s">
        <v>4</v>
      </c>
      <c r="I4" s="12" t="s">
        <v>5</v>
      </c>
      <c r="J4" s="12"/>
      <c r="K4" s="12"/>
      <c r="L4" s="12" t="s">
        <v>6</v>
      </c>
      <c r="M4" s="12"/>
      <c r="N4" s="12"/>
      <c r="O4" s="12"/>
      <c r="P4" s="6" t="s">
        <v>7</v>
      </c>
      <c r="Q4" s="6" t="s">
        <v>8</v>
      </c>
    </row>
    <row r="5" spans="1:17" ht="98.45" customHeight="1" x14ac:dyDescent="0.25">
      <c r="A5" s="1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7"/>
      <c r="H5" s="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7"/>
      <c r="Q5" s="7"/>
    </row>
    <row r="6" spans="1:17" ht="19.149999999999999" customHeight="1" x14ac:dyDescent="0.25">
      <c r="A6" s="14">
        <v>45017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5">
        <v>45047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45078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5">
        <v>45108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45139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5">
        <v>45170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45200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5">
        <v>45231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45261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5">
        <v>45292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45323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5">
        <v>45352</v>
      </c>
      <c r="B17" s="2">
        <v>6</v>
      </c>
      <c r="C17" s="2">
        <v>21.916666666666668</v>
      </c>
      <c r="D17" s="2">
        <v>13.77</v>
      </c>
      <c r="E17" s="2">
        <v>459</v>
      </c>
      <c r="F17" s="2">
        <v>1.0534049999999999</v>
      </c>
      <c r="G17" s="2">
        <v>2.6025300000000002</v>
      </c>
      <c r="H17" s="2">
        <f t="shared" ref="H17" si="0">F17/G17*100</f>
        <v>40.476190476190474</v>
      </c>
      <c r="I17" s="2">
        <v>0</v>
      </c>
      <c r="J17" s="2">
        <v>0</v>
      </c>
      <c r="K17" s="2">
        <v>0</v>
      </c>
      <c r="L17" s="2">
        <v>9.4108779999999989E-2</v>
      </c>
      <c r="M17" s="2">
        <v>0</v>
      </c>
      <c r="N17" s="2">
        <v>0</v>
      </c>
      <c r="O17" s="2">
        <v>9.4108779999999989E-2</v>
      </c>
      <c r="P17" s="2">
        <v>0.28236761999999999</v>
      </c>
      <c r="Q17" s="2">
        <f t="shared" ref="Q17" si="1">O17/P17*100</f>
        <v>33.328460253339244</v>
      </c>
    </row>
    <row r="18" spans="1:17" ht="19.149999999999999" customHeight="1" x14ac:dyDescent="0.25">
      <c r="A18" s="3" t="s">
        <v>22</v>
      </c>
      <c r="B18" s="4">
        <f t="shared" ref="B18:I18" si="2">SUM(B6:B17)</f>
        <v>6</v>
      </c>
      <c r="C18" s="4">
        <f t="shared" si="2"/>
        <v>21.916666666666668</v>
      </c>
      <c r="D18" s="4">
        <f t="shared" si="2"/>
        <v>13.77</v>
      </c>
      <c r="E18" s="4">
        <f t="shared" si="2"/>
        <v>459</v>
      </c>
      <c r="F18" s="4">
        <f t="shared" si="2"/>
        <v>1.0534049999999999</v>
      </c>
      <c r="G18" s="4">
        <f t="shared" si="2"/>
        <v>2.6025300000000002</v>
      </c>
      <c r="H18" s="4">
        <f t="shared" si="2"/>
        <v>40.476190476190474</v>
      </c>
      <c r="I18" s="4">
        <f t="shared" si="2"/>
        <v>0</v>
      </c>
      <c r="J18" s="4">
        <f>SUM(J6:J17)</f>
        <v>0</v>
      </c>
      <c r="K18" s="4">
        <f t="shared" ref="K18:Q18" si="3">SUM(K6:K17)</f>
        <v>0</v>
      </c>
      <c r="L18" s="4">
        <f t="shared" si="3"/>
        <v>9.4108779999999989E-2</v>
      </c>
      <c r="M18" s="4">
        <f t="shared" si="3"/>
        <v>0</v>
      </c>
      <c r="N18" s="4">
        <f t="shared" si="3"/>
        <v>0</v>
      </c>
      <c r="O18" s="4">
        <f t="shared" si="3"/>
        <v>9.4108779999999989E-2</v>
      </c>
      <c r="P18" s="4">
        <f t="shared" si="3"/>
        <v>0.28236761999999999</v>
      </c>
      <c r="Q18" s="4">
        <f t="shared" si="3"/>
        <v>33.328460253339244</v>
      </c>
    </row>
    <row r="19" spans="1:17" ht="19.149999999999999" customHeight="1" x14ac:dyDescent="0.25">
      <c r="A19" s="8" t="s">
        <v>19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2020-05-22T09:01:33Z</dcterms:created>
  <dcterms:modified xsi:type="dcterms:W3CDTF">2024-11-08T06:45:38Z</dcterms:modified>
</cp:coreProperties>
</file>