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5. ALLIANCE AIR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Q13" i="1"/>
  <c r="Q14" i="1"/>
  <c r="Q15" i="1"/>
  <c r="Q16" i="1"/>
  <c r="Q17" i="1"/>
  <c r="Q12" i="1"/>
  <c r="H12" i="1"/>
  <c r="P18" i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8" i="1" l="1"/>
</calcChain>
</file>

<file path=xl/sharedStrings.xml><?xml version="1.0" encoding="utf-8"?>
<sst xmlns="http://schemas.openxmlformats.org/spreadsheetml/2006/main" count="26" uniqueCount="24">
  <si>
    <t xml:space="preserve">तालिका - 1.02 (एलाइंस एयर) </t>
  </si>
  <si>
    <t>Table 1.02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</si>
  <si>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</si>
  <si>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</si>
  <si>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</si>
  <si>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</si>
  <si>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</si>
  <si>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</si>
  <si>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</si>
  <si>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</si>
  <si>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</si>
  <si>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</si>
  <si>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</si>
  <si>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</si>
  <si>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</si>
  <si>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</si>
  <si>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</si>
  <si>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</si>
  <si>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</si>
  <si>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</si>
  <si>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</si>
  <si>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</si>
  <si>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2019-20</t>
  </si>
  <si>
    <t>MONTHLY TRAFFIC AND OPERATING STATISTICS OF ALLIANCE AIR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</si>
</sst>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64" fontId="2" fillId="3" borderId="1" xfId="3" applyNumberFormat="1" applyFont="1" applyBorder="1" applyAlignment="1" applyProtection="1">
      <alignment horizontal="center" vertical="center" wrapText="1"/>
    </xf>
    <xf numFmtId="166" fontId="1" fillId="3" borderId="1" xfId="3" applyNumberForma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0" fontId="6" fillId="4" borderId="2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left" vertical="center" wrapText="1"/>
    </xf>
    <xf numFmtId="0" fontId="6" fillId="4" borderId="4" xfId="0" applyFont="1" applyFill="1" applyBorder="1" applyAlignment="1" applyProtection="1">
      <alignment horizontal="left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96" zoomScaleNormal="96" workbookViewId="0">
      <selection activeCell="R10" sqref="R10"/>
    </sheetView>
  </sheetViews>
  <sheetFormatPr defaultRowHeight="15" x14ac:dyDescent="0.25"/>
  <cols>
    <col min="2" max="4" width="7.42578125" customWidth="1"/>
    <col min="5" max="5" width="8.28515625" customWidth="1"/>
    <col min="6" max="17" width="7.42578125" customWidth="1"/>
  </cols>
  <sheetData>
    <row r="1" spans="1:17" ht="19.149999999999999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9.149999999999999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9.149999999999999" customHeight="1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8.450000000000003" customHeight="1" x14ac:dyDescent="0.25">
      <c r="A4" s="19" t="s">
        <v>2</v>
      </c>
      <c r="B4" s="19" t="s">
        <v>3</v>
      </c>
      <c r="C4" s="19"/>
      <c r="D4" s="19"/>
      <c r="E4" s="19" t="s">
        <v>4</v>
      </c>
      <c r="F4" s="20"/>
      <c r="G4" s="14" t="s">
        <v>5</v>
      </c>
      <c r="H4" s="14" t="s">
        <v>6</v>
      </c>
      <c r="I4" s="19" t="s">
        <v>7</v>
      </c>
      <c r="J4" s="19"/>
      <c r="K4" s="19"/>
      <c r="L4" s="19" t="s">
        <v>8</v>
      </c>
      <c r="M4" s="19"/>
      <c r="N4" s="19"/>
      <c r="O4" s="19"/>
      <c r="P4" s="14" t="s">
        <v>9</v>
      </c>
      <c r="Q4" s="14" t="s">
        <v>10</v>
      </c>
    </row>
    <row r="5" spans="1:17" ht="97.9" customHeight="1" x14ac:dyDescent="0.25">
      <c r="A5" s="19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5"/>
      <c r="H5" s="15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15"/>
      <c r="Q5" s="15"/>
    </row>
    <row r="6" spans="1:17" ht="19.149999999999999" customHeight="1" x14ac:dyDescent="0.25">
      <c r="A6" s="1">
        <v>43556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9.149999999999999" customHeight="1" x14ac:dyDescent="0.25">
      <c r="A7" s="3">
        <v>43586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19.149999999999999" customHeight="1" x14ac:dyDescent="0.25">
      <c r="A8" s="1">
        <v>43617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9.149999999999999" customHeight="1" x14ac:dyDescent="0.25">
      <c r="A9" s="3">
        <v>43647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19.149999999999999" customHeight="1" x14ac:dyDescent="0.25">
      <c r="A10" s="1">
        <v>43678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9.149999999999999" customHeight="1" x14ac:dyDescent="0.25">
      <c r="A11" s="3">
        <v>43709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t="19.149999999999999" customHeight="1" x14ac:dyDescent="0.25">
      <c r="A12" s="1">
        <v>43739</v>
      </c>
      <c r="B12" s="2">
        <v>2</v>
      </c>
      <c r="C12" s="2">
        <v>2.8</v>
      </c>
      <c r="D12" s="2">
        <v>0.7</v>
      </c>
      <c r="E12" s="10">
        <v>10</v>
      </c>
      <c r="F12" s="2">
        <v>4.0000000000000001E-3</v>
      </c>
      <c r="G12" s="2">
        <v>0.05</v>
      </c>
      <c r="H12" s="7">
        <f t="shared" ref="H12:H17" si="0">F12/G12*100</f>
        <v>8</v>
      </c>
      <c r="I12" s="2">
        <v>0</v>
      </c>
      <c r="J12" s="2">
        <v>0</v>
      </c>
      <c r="K12" s="2">
        <v>0</v>
      </c>
      <c r="L12" s="7">
        <v>2.9999999999999997E-4</v>
      </c>
      <c r="M12" s="7">
        <v>0</v>
      </c>
      <c r="N12" s="7">
        <v>0</v>
      </c>
      <c r="O12" s="7">
        <v>2.9999999999999997E-4</v>
      </c>
      <c r="P12" s="7">
        <v>4.5999999999999999E-3</v>
      </c>
      <c r="Q12" s="7">
        <f t="shared" ref="Q12:Q17" si="1">O12/P12*100</f>
        <v>6.5217391304347823</v>
      </c>
    </row>
    <row r="13" spans="1:17" ht="19.149999999999999" customHeight="1" x14ac:dyDescent="0.25">
      <c r="A13" s="3">
        <v>43770</v>
      </c>
      <c r="B13" s="4">
        <v>18</v>
      </c>
      <c r="C13" s="4">
        <v>23.6</v>
      </c>
      <c r="D13" s="4">
        <v>6.4</v>
      </c>
      <c r="E13" s="11">
        <v>464</v>
      </c>
      <c r="F13" s="4">
        <v>0.16400000000000001</v>
      </c>
      <c r="G13" s="4">
        <v>0.44700000000000001</v>
      </c>
      <c r="H13" s="8">
        <f t="shared" si="0"/>
        <v>36.68903803131991</v>
      </c>
      <c r="I13" s="4">
        <v>0</v>
      </c>
      <c r="J13" s="4">
        <v>0</v>
      </c>
      <c r="K13" s="4">
        <v>0</v>
      </c>
      <c r="L13" s="8">
        <v>1.49E-2</v>
      </c>
      <c r="M13" s="8">
        <v>0</v>
      </c>
      <c r="N13" s="8">
        <v>0</v>
      </c>
      <c r="O13" s="8">
        <v>1.49E-2</v>
      </c>
      <c r="P13" s="8">
        <v>4.1399999999999999E-2</v>
      </c>
      <c r="Q13" s="8">
        <f t="shared" si="1"/>
        <v>35.990338164251206</v>
      </c>
    </row>
    <row r="14" spans="1:17" ht="19.149999999999999" customHeight="1" x14ac:dyDescent="0.25">
      <c r="A14" s="1">
        <v>43800</v>
      </c>
      <c r="B14" s="2">
        <v>26</v>
      </c>
      <c r="C14" s="2">
        <v>33.299999999999997</v>
      </c>
      <c r="D14" s="2">
        <v>9.1999999999999993</v>
      </c>
      <c r="E14" s="10">
        <v>1158</v>
      </c>
      <c r="F14" s="2">
        <v>0.41</v>
      </c>
      <c r="G14" s="2">
        <v>0.64400000000000002</v>
      </c>
      <c r="H14" s="7">
        <f t="shared" si="0"/>
        <v>63.66459627329192</v>
      </c>
      <c r="I14" s="2">
        <v>0</v>
      </c>
      <c r="J14" s="2">
        <v>0</v>
      </c>
      <c r="K14" s="2">
        <v>0</v>
      </c>
      <c r="L14" s="7">
        <v>3.73E-2</v>
      </c>
      <c r="M14" s="7">
        <v>0</v>
      </c>
      <c r="N14" s="7">
        <v>0</v>
      </c>
      <c r="O14" s="7">
        <v>3.73E-2</v>
      </c>
      <c r="P14" s="7">
        <v>5.9799999999999999E-2</v>
      </c>
      <c r="Q14" s="7">
        <f t="shared" si="1"/>
        <v>62.374581939799334</v>
      </c>
    </row>
    <row r="15" spans="1:17" ht="19.149999999999999" customHeight="1" x14ac:dyDescent="0.25">
      <c r="A15" s="3">
        <v>43831</v>
      </c>
      <c r="B15" s="4">
        <v>26</v>
      </c>
      <c r="C15" s="4">
        <v>32.4</v>
      </c>
      <c r="D15" s="4">
        <v>9.1999999999999993</v>
      </c>
      <c r="E15" s="11">
        <v>1181</v>
      </c>
      <c r="F15" s="4">
        <v>0.41799999999999998</v>
      </c>
      <c r="G15" s="4">
        <v>0.64400000000000002</v>
      </c>
      <c r="H15" s="8">
        <f t="shared" si="0"/>
        <v>64.906832298136635</v>
      </c>
      <c r="I15" s="4"/>
      <c r="J15" s="4"/>
      <c r="K15" s="4">
        <v>0</v>
      </c>
      <c r="L15" s="8">
        <v>3.7999999999999999E-2</v>
      </c>
      <c r="M15" s="8">
        <v>0</v>
      </c>
      <c r="N15" s="8">
        <v>0</v>
      </c>
      <c r="O15" s="8">
        <v>3.7999999999999999E-2</v>
      </c>
      <c r="P15" s="8">
        <v>5.9799999999999999E-2</v>
      </c>
      <c r="Q15" s="8">
        <f t="shared" si="1"/>
        <v>63.545150501672239</v>
      </c>
    </row>
    <row r="16" spans="1:17" ht="19.149999999999999" customHeight="1" x14ac:dyDescent="0.25">
      <c r="A16" s="1">
        <v>43862</v>
      </c>
      <c r="B16" s="2">
        <v>30</v>
      </c>
      <c r="C16" s="2">
        <v>36.700000000000003</v>
      </c>
      <c r="D16" s="2">
        <v>10.6</v>
      </c>
      <c r="E16" s="10">
        <v>1006</v>
      </c>
      <c r="F16" s="2">
        <v>0.35599999999999998</v>
      </c>
      <c r="G16" s="2">
        <v>0.74299999999999999</v>
      </c>
      <c r="H16" s="7">
        <f t="shared" si="0"/>
        <v>47.913862718707939</v>
      </c>
      <c r="I16" s="2"/>
      <c r="J16" s="2"/>
      <c r="K16" s="2">
        <v>0</v>
      </c>
      <c r="L16" s="7">
        <v>3.2399999999999998E-2</v>
      </c>
      <c r="M16" s="7">
        <v>0</v>
      </c>
      <c r="N16" s="7">
        <v>0</v>
      </c>
      <c r="O16" s="7">
        <v>3.2399999999999998E-2</v>
      </c>
      <c r="P16" s="7">
        <v>6.9000000000000006E-2</v>
      </c>
      <c r="Q16" s="7">
        <f t="shared" si="1"/>
        <v>46.95652173913043</v>
      </c>
    </row>
    <row r="17" spans="1:17" ht="19.149999999999999" customHeight="1" x14ac:dyDescent="0.25">
      <c r="A17" s="3">
        <v>43891</v>
      </c>
      <c r="B17" s="4">
        <v>29</v>
      </c>
      <c r="C17" s="4">
        <v>34.799999999999997</v>
      </c>
      <c r="D17" s="4">
        <v>10.3</v>
      </c>
      <c r="E17" s="11">
        <v>475</v>
      </c>
      <c r="F17" s="4">
        <v>0.16800000000000001</v>
      </c>
      <c r="G17" s="4">
        <v>0.71899999999999997</v>
      </c>
      <c r="H17" s="8">
        <f t="shared" si="0"/>
        <v>23.365785813630044</v>
      </c>
      <c r="I17" s="4"/>
      <c r="J17" s="4"/>
      <c r="K17" s="4">
        <v>0</v>
      </c>
      <c r="L17" s="8">
        <v>1.5300000000000001E-2</v>
      </c>
      <c r="M17" s="8">
        <v>0</v>
      </c>
      <c r="N17" s="8">
        <v>0</v>
      </c>
      <c r="O17" s="8">
        <v>1.5300000000000001E-2</v>
      </c>
      <c r="P17" s="8">
        <v>6.6700000000000009E-2</v>
      </c>
      <c r="Q17" s="8">
        <f t="shared" si="1"/>
        <v>22.938530734632682</v>
      </c>
    </row>
    <row r="18" spans="1:17" ht="19.149999999999999" customHeight="1" x14ac:dyDescent="0.25">
      <c r="A18" s="5" t="s">
        <v>22</v>
      </c>
      <c r="B18" s="6">
        <f>SUM(B6:B17)</f>
        <v>131</v>
      </c>
      <c r="C18" s="6">
        <f t="shared" ref="C18:G18" si="2">SUM(C6:C17)</f>
        <v>163.60000000000002</v>
      </c>
      <c r="D18" s="6">
        <f t="shared" si="2"/>
        <v>46.400000000000006</v>
      </c>
      <c r="E18" s="12">
        <f t="shared" si="2"/>
        <v>4294</v>
      </c>
      <c r="F18" s="6">
        <f t="shared" si="2"/>
        <v>1.5199999999999998</v>
      </c>
      <c r="G18" s="6">
        <f t="shared" si="2"/>
        <v>3.2469999999999999</v>
      </c>
      <c r="H18" s="9">
        <f>F18/G18*100</f>
        <v>46.812442254388664</v>
      </c>
      <c r="I18" s="6">
        <f t="shared" ref="I18" si="3">SUM(I6:I17)</f>
        <v>0</v>
      </c>
      <c r="J18" s="6">
        <f t="shared" ref="J18:P18" si="4">SUM(J6:J17)</f>
        <v>0</v>
      </c>
      <c r="K18" s="6">
        <f t="shared" si="4"/>
        <v>0</v>
      </c>
      <c r="L18" s="9">
        <f t="shared" si="4"/>
        <v>0.13819999999999999</v>
      </c>
      <c r="M18" s="9">
        <f t="shared" si="4"/>
        <v>0</v>
      </c>
      <c r="N18" s="9">
        <f t="shared" si="4"/>
        <v>0</v>
      </c>
      <c r="O18" s="9">
        <f t="shared" si="4"/>
        <v>0.13819999999999999</v>
      </c>
      <c r="P18" s="9">
        <f t="shared" si="4"/>
        <v>0.30130000000000001</v>
      </c>
      <c r="Q18" s="9">
        <f t="shared" ref="Q18" si="5">O18/P18*100</f>
        <v>45.867905741785592</v>
      </c>
    </row>
    <row r="19" spans="1:17" ht="19.149999999999999" customHeight="1" x14ac:dyDescent="0.25">
      <c r="A19" s="21" t="s">
        <v>21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2020-05-22T09:06:28Z</dcterms:created>
  <dcterms:modified xsi:type="dcterms:W3CDTF">2021-09-14T21:08:26Z</dcterms:modified>
</cp:coreProperties>
</file>